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heck" sheetId="2" r:id="rId2"/>
    <sheet name="Monthly" sheetId="3" r:id="rId3"/>
    <sheet name="Daily" sheetId="4" r:id="rId4"/>
    <sheet name="Inputs" sheetId="5" r:id="rId5"/>
  </sheets>
  <calcPr calcId="124519" fullCalcOnLoad="1"/>
</workbook>
</file>

<file path=xl/sharedStrings.xml><?xml version="1.0" encoding="utf-8"?>
<sst xmlns="http://schemas.openxmlformats.org/spreadsheetml/2006/main" count="766" uniqueCount="128">
  <si>
    <t>Phase 5 hand check: the backtest engine recomputed with plain spreadsheet formulas.</t>
  </si>
  <si>
    <t>Built by `python -m src.engine.handcheck`; test/test_engine_checks.py compares the stored formula values with a fresh engine run.</t>
  </si>
  <si>
    <t>Inputs: simulated daily excess returns of two instruments, A and B, and a daily risk-free rate (sheet Daily, columns A-E).</t>
  </si>
  <si>
    <t>Two recipes: positions per unit of size are held in every month of their year (sheet Inputs).</t>
  </si>
  <si>
    <t>Rule: size for month m+1 = min(cap, c_t / RV_t), with RV_t and c_t from the mix held in m+1, at the end of month t = m.</t>
  </si>
  <si>
    <t>c_t = STDEV(next-month returns) / STDEV(next-month return x signal), over the pairs complete by the end of t (expanding range).</t>
  </si>
  <si>
    <t>Execution: trade at the month's last close; positions drift within the month; turnover = |new - drifted|, cost = kappa x turnover.</t>
  </si>
  <si>
    <t>Cash below zero grows at rf + borrow spread; a short grows at its return + short fee (both accrued daily, 252 a year).</t>
  </si>
  <si>
    <t>Net return = (1 - trading cost) x account growth - 1. Excess = net - Rf of the month.</t>
  </si>
  <si>
    <t>Buy-and-hold: the same recipe at size 1, traded on the same dates at the same costs.</t>
  </si>
  <si>
    <t>Sheet Check: the column 'difference' should be zero to about 1e-15 (floating point).</t>
  </si>
  <si>
    <t>parameter</t>
  </si>
  <si>
    <t>value</t>
  </si>
  <si>
    <t>max_size</t>
  </si>
  <si>
    <t>min_months</t>
  </si>
  <si>
    <t>kappa_A</t>
  </si>
  <si>
    <t>kappa_B</t>
  </si>
  <si>
    <t>borrow_spread</t>
  </si>
  <si>
    <t>short_fee_A</t>
  </si>
  <si>
    <t>short_fee_B</t>
  </si>
  <si>
    <t>days_per_year</t>
  </si>
  <si>
    <t>recipe year (held in)</t>
  </si>
  <si>
    <t>position A</t>
  </si>
  <si>
    <t>position B</t>
  </si>
  <si>
    <t>date</t>
  </si>
  <si>
    <t>month</t>
  </si>
  <si>
    <t>x_A</t>
  </si>
  <si>
    <t>x_B</t>
  </si>
  <si>
    <t>rf</t>
  </si>
  <si>
    <t>p1</t>
  </si>
  <si>
    <t>p2</t>
  </si>
  <si>
    <t>p1^2</t>
  </si>
  <si>
    <t>p2^2</t>
  </si>
  <si>
    <t>ln(1+p1+rf)</t>
  </si>
  <si>
    <t>ln(1+p2+rf)</t>
  </si>
  <si>
    <t>ln(1+rf)</t>
  </si>
  <si>
    <t>ln(1+x_A+rf)</t>
  </si>
  <si>
    <t>ln(1+x_B+rf)</t>
  </si>
  <si>
    <t>ln(1+x_A+rf+fee_A)</t>
  </si>
  <si>
    <t>ln(1+x_B+rf+fee_B)</t>
  </si>
  <si>
    <t>ln(1+rf+spread)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</si>
  <si>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</si>
  <si>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</si>
  <si>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</si>
  <si>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</si>
  <si>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</si>
  <si>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</si>
  <si>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</si>
  <si>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</si>
  <si>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</si>
  <si>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</si>
  <si>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</si>
  <si>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</si>
  <si>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</si>
  <si>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</si>
  <si>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</si>
  <si>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</si>
  <si>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</si>
  <si>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</si>
  <si>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</si>
  <si>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</si>
  <si>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</si>
  <si>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</si>
  <si>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</si>
  <si>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</si>
  <si>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recipe held</t>
  </si>
  <si>
    <t>year</t>
  </si>
  <si>
    <t>Rf (month)</t>
  </si>
  <si>
    <t>ret1: excess return, mix 1</t>
  </si>
  <si>
    <t>RV1</t>
  </si>
  <si>
    <t>signal1 = 1/RV1</t>
  </si>
  <si>
    <t>y1 = next ret1</t>
  </si>
  <si>
    <t>z1 = y1 x signal1</t>
  </si>
  <si>
    <t>c1 (pairs up to the row before)</t>
  </si>
  <si>
    <t>ret2</t>
  </si>
  <si>
    <t>RV2</t>
  </si>
  <si>
    <t>signal2</t>
  </si>
  <si>
    <t>y2</t>
  </si>
  <si>
    <t>z2</t>
  </si>
  <si>
    <t>c2</t>
  </si>
  <si>
    <t>recipe next month</t>
  </si>
  <si>
    <t>forecast (RV of the next recipe's mix)</t>
  </si>
  <si>
    <t>signal</t>
  </si>
  <si>
    <t>c</t>
  </si>
  <si>
    <t>c x signal</t>
  </si>
  <si>
    <t>size for next month (capped)</t>
  </si>
  <si>
    <t>size held</t>
  </si>
  <si>
    <t>w_A</t>
  </si>
  <si>
    <t>w_B</t>
  </si>
  <si>
    <t>cash</t>
  </si>
  <si>
    <t>growth A</t>
  </si>
  <si>
    <t>growth B</t>
  </si>
  <si>
    <t>growth cash</t>
  </si>
  <si>
    <t>account growth</t>
  </si>
  <si>
    <t>drift_A</t>
  </si>
  <si>
    <t>drift_B</t>
  </si>
  <si>
    <t>|trade A|</t>
  </si>
  <si>
    <t>|trade B|</t>
  </si>
  <si>
    <t>turnover</t>
  </si>
  <si>
    <t>trading cost</t>
  </si>
  <si>
    <t>net</t>
  </si>
  <si>
    <t>excess</t>
  </si>
  <si>
    <t>bench w_A</t>
  </si>
  <si>
    <t>bench w_B</t>
  </si>
  <si>
    <t>bench cash</t>
  </si>
  <si>
    <t>bench growth A</t>
  </si>
  <si>
    <t>bench growth B</t>
  </si>
  <si>
    <t>bench growth cash</t>
  </si>
  <si>
    <t>bench account growth</t>
  </si>
  <si>
    <t>bench drift_A</t>
  </si>
  <si>
    <t>bench drift_B</t>
  </si>
  <si>
    <t>bench |trade A|</t>
  </si>
  <si>
    <t>bench |trade B|</t>
  </si>
  <si>
    <t>bench turnover</t>
  </si>
  <si>
    <t>bench trading cost</t>
  </si>
  <si>
    <t>bench net</t>
  </si>
  <si>
    <t>bench excess</t>
  </si>
  <si>
    <t>holding month</t>
  </si>
  <si>
    <t>quantity</t>
  </si>
  <si>
    <t>spreadsheet</t>
  </si>
  <si>
    <t>engine</t>
  </si>
  <si>
    <t>difference</t>
  </si>
  <si>
    <t>forecast</t>
  </si>
  <si>
    <t>size</t>
  </si>
  <si>
    <t>trading</t>
  </si>
  <si>
    <t>bench_turnover</t>
  </si>
  <si>
    <t>bench_net</t>
  </si>
  <si>
    <t>bench_excess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</si>
</sst>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3" spans="1:1">
      <c r="A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6.7109375" customWidth="1"/>
    <col min="3" max="61" width="14.7109375" customWidth="1"/>
  </cols>
  <sheetData>
    <row r="1" spans="1:5" s="1" customFormat="1" ht="45" customHeight="1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</row>
    <row r="2" spans="1:5">
      <c r="A2" t="s">
        <v>48</v>
      </c>
      <c r="B2" t="s">
        <v>122</v>
      </c>
      <c r="C2" s="2">
        <f>Monthly!R8</f>
        <v>0.0011360445069637133</v>
      </c>
      <c r="D2" s="2">
        <v>0.001136044506963728</v>
      </c>
      <c r="E2" s="2">
        <f>C2-D2</f>
        <v>-2.8666305440516737e-16</v>
      </c>
    </row>
    <row r="3" spans="1:5">
      <c r="A3" t="s">
        <v>48</v>
      </c>
      <c r="B3" t="s">
        <v>83</v>
      </c>
      <c r="C3" s="2">
        <f>Monthly!T8</f>
        <v>0.00217163928527888</v>
      </c>
      <c r="D3" s="2">
        <v>0.002171639285278871</v>
      </c>
      <c r="E3" s="2">
        <f>C3-D3</f>
        <v>-1.201296007113939e-16</v>
      </c>
    </row>
    <row r="4" spans="1:5">
      <c r="A4" t="s">
        <v>48</v>
      </c>
      <c r="B4" t="s">
        <v>123</v>
      </c>
      <c r="C4" s="2">
        <f>Monthly!V8</f>
        <v>1.3</v>
      </c>
      <c r="D4" s="2">
        <v>1.3</v>
      </c>
      <c r="E4" s="2">
        <f>C4-D4</f>
        <v>0.0</v>
      </c>
    </row>
    <row r="5" spans="1:5">
      <c r="A5" t="s">
        <v>48</v>
      </c>
      <c r="B5" t="s">
        <v>87</v>
      </c>
      <c r="C5" s="2">
        <f>Monthly!X9</f>
        <v>1.04</v>
      </c>
      <c r="D5" s="2">
        <v>1.04</v>
      </c>
      <c r="E5" s="2">
        <f>C5-D5</f>
        <v>0.0</v>
      </c>
    </row>
    <row r="6" spans="1:5">
      <c r="A6" t="s">
        <v>48</v>
      </c>
      <c r="B6" t="s">
        <v>88</v>
      </c>
      <c r="C6" s="2">
        <f>Monthly!Y9</f>
        <v>0.78</v>
      </c>
      <c r="D6" s="2">
        <v>0.78</v>
      </c>
      <c r="E6" s="2">
        <f>C6-D6</f>
        <v>0.0</v>
      </c>
    </row>
    <row r="7" spans="1:5">
      <c r="A7" t="s">
        <v>48</v>
      </c>
      <c r="B7" t="s">
        <v>94</v>
      </c>
      <c r="C7" s="2">
        <f>Monthly!AE9</f>
        <v>1.0739465310517509</v>
      </c>
      <c r="D7" s="2">
        <v>1.073946531051752</v>
      </c>
      <c r="E7" s="2">
        <f>C7-D7</f>
        <v>-1.1102230246251565e-15</v>
      </c>
    </row>
    <row r="8" spans="1:5">
      <c r="A8" t="s">
        <v>48</v>
      </c>
      <c r="B8" t="s">
        <v>95</v>
      </c>
      <c r="C8" s="2">
        <f>Monthly!AF9</f>
        <v>0.8073411812512045</v>
      </c>
      <c r="D8" s="2">
        <v>0.8073411812512035</v>
      </c>
      <c r="E8" s="2">
        <f>C8-D8</f>
        <v>1.4432899320127035e-15</v>
      </c>
    </row>
    <row r="9" spans="1:5">
      <c r="A9" t="s">
        <v>48</v>
      </c>
      <c r="B9" t="s">
        <v>98</v>
      </c>
      <c r="C9" s="2">
        <f>Monthly!AI9</f>
        <v>1.82</v>
      </c>
      <c r="D9" s="2">
        <v>1.82</v>
      </c>
      <c r="E9" s="2">
        <f>C9-D9</f>
        <v>0.0</v>
      </c>
    </row>
    <row r="10" spans="1:5">
      <c r="A10" t="s">
        <v>48</v>
      </c>
      <c r="B10" t="s">
        <v>124</v>
      </c>
      <c r="C10" s="2">
        <f>Monthly!AJ9</f>
        <v>0.0013000000000000002</v>
      </c>
      <c r="D10" s="2">
        <v>0.0013</v>
      </c>
      <c r="E10" s="2">
        <f>C10-D10</f>
        <v>2.168404344971009e-19</v>
      </c>
    </row>
    <row r="11" spans="1:5">
      <c r="A11" t="s">
        <v>48</v>
      </c>
      <c r="B11" t="s">
        <v>100</v>
      </c>
      <c r="C11" s="2">
        <f>Monthly!AK9</f>
        <v>-0.06985288945479351</v>
      </c>
      <c r="D11" s="2">
        <v>-0.06985288945479551</v>
      </c>
      <c r="E11" s="2">
        <f>C11-D11</f>
        <v>2.4841240175987878e-15</v>
      </c>
    </row>
    <row r="12" spans="1:5">
      <c r="A12" t="s">
        <v>48</v>
      </c>
      <c r="B12" t="s">
        <v>101</v>
      </c>
      <c r="C12" s="2">
        <f>Monthly!AL9</f>
        <v>-0.070364816745769</v>
      </c>
      <c r="D12" s="2">
        <v>-0.07036481674577078</v>
      </c>
      <c r="E12" s="2">
        <f>C12-D12</f>
        <v>1.9984014443252818e-15</v>
      </c>
    </row>
    <row r="13" spans="1:5">
      <c r="A13" t="s">
        <v>48</v>
      </c>
      <c r="B13" t="s">
        <v>125</v>
      </c>
      <c r="C13" s="2">
        <f>Monthly!AX9</f>
        <v>1.4</v>
      </c>
      <c r="D13" s="2">
        <v>1.4</v>
      </c>
      <c r="E13" s="2">
        <f>C13-D13</f>
        <v>0.0</v>
      </c>
    </row>
    <row r="14" spans="1:5">
      <c r="A14" t="s">
        <v>48</v>
      </c>
      <c r="B14" t="s">
        <v>126</v>
      </c>
      <c r="C14" s="2">
        <f>Monthly!AZ9</f>
        <v>-0.05352553291328299</v>
      </c>
      <c r="D14" s="2">
        <v>-0.05352553291328455</v>
      </c>
      <c r="E14" s="2">
        <f>C14-D14</f>
        <v>2.005340338229189e-15</v>
      </c>
    </row>
    <row r="15" spans="1:5">
      <c r="A15" t="s">
        <v>48</v>
      </c>
      <c r="B15" t="s">
        <v>127</v>
      </c>
      <c r="C15" s="2">
        <f>Monthly!BA9</f>
        <v>-0.05403746020425848</v>
      </c>
      <c r="D15" s="2">
        <v>-0.05403746020425981</v>
      </c>
      <c r="E15" s="2">
        <f>C15-D15</f>
        <v>1.519617764955683e-15</v>
      </c>
    </row>
    <row r="16" spans="1:5">
      <c r="A16" t="s">
        <v>50</v>
      </c>
      <c r="B16" t="s">
        <v>122</v>
      </c>
      <c r="C16" s="2">
        <f>Monthly!R10</f>
        <v>0.0025713485478088558</v>
      </c>
      <c r="D16" s="2">
        <v>0.002571348547808835</v>
      </c>
      <c r="E16" s="2">
        <f>C16-D16</f>
        <v>-1.444157293750692e-16</v>
      </c>
    </row>
    <row r="17" spans="1:5">
      <c r="A17" t="s">
        <v>50</v>
      </c>
      <c r="B17" t="s">
        <v>83</v>
      </c>
      <c r="C17" s="2">
        <f>Monthly!T10</f>
        <v>0.0017081033661356959</v>
      </c>
      <c r="D17" s="2">
        <v>0.001708103366135689</v>
      </c>
      <c r="E17" s="2">
        <f>C17-D17</f>
        <v>-3.0422712959943254e-16</v>
      </c>
    </row>
    <row r="18" spans="1:5">
      <c r="A18" t="s">
        <v>50</v>
      </c>
      <c r="B18" t="s">
        <v>123</v>
      </c>
      <c r="C18" s="2">
        <f>Monthly!V10</f>
        <v>0.6642830928507284</v>
      </c>
      <c r="D18" s="2">
        <v>0.6642830928507311</v>
      </c>
      <c r="E18" s="2">
        <f>C18-D18</f>
        <v>-2.55351295663786e-15</v>
      </c>
    </row>
    <row r="19" spans="1:5">
      <c r="A19" t="s">
        <v>50</v>
      </c>
      <c r="B19" t="s">
        <v>87</v>
      </c>
      <c r="C19" s="2">
        <f>Monthly!X11</f>
        <v>0.5314264742805828</v>
      </c>
      <c r="D19" s="2">
        <v>0.5314264742805849</v>
      </c>
      <c r="E19" s="2">
        <f>C19-D19</f>
        <v>-2.220446049250313e-15</v>
      </c>
    </row>
    <row r="20" spans="1:5">
      <c r="A20" t="s">
        <v>50</v>
      </c>
      <c r="B20" t="s">
        <v>88</v>
      </c>
      <c r="C20" s="2">
        <f>Monthly!Y11</f>
        <v>0.398569855710437</v>
      </c>
      <c r="D20" s="2">
        <v>0.3985698557104386</v>
      </c>
      <c r="E20" s="2">
        <f>C20-D20</f>
        <v>-1.9984014443252818e-15</v>
      </c>
    </row>
    <row r="21" spans="1:5">
      <c r="A21" t="s">
        <v>50</v>
      </c>
      <c r="B21" t="s">
        <v>94</v>
      </c>
      <c r="C21" s="2">
        <f>Monthly!AE11</f>
        <v>0.5067621224856074</v>
      </c>
      <c r="D21" s="2">
        <v>0.5067621224856106</v>
      </c>
      <c r="E21" s="2">
        <f>C21-D21</f>
        <v>-3.6637359812630166e-15</v>
      </c>
    </row>
    <row r="22" spans="1:5">
      <c r="A22" t="s">
        <v>50</v>
      </c>
      <c r="B22" t="s">
        <v>95</v>
      </c>
      <c r="C22" s="2">
        <f>Monthly!AF11</f>
        <v>0.41936222117835004</v>
      </c>
      <c r="D22" s="2">
        <v>0.4193622211783507</v>
      </c>
      <c r="E22" s="2">
        <f>C22-D22</f>
        <v>-9.43689570931383e-16</v>
      </c>
    </row>
    <row r="23" spans="1:5">
      <c r="A23" t="s">
        <v>50</v>
      </c>
      <c r="B23" t="s">
        <v>98</v>
      </c>
      <c r="C23" s="2">
        <f>Monthly!AI11</f>
        <v>0.2894704228989897</v>
      </c>
      <c r="D23" s="2">
        <v>0.2894704228989723</v>
      </c>
      <c r="E23" s="2">
        <f>C23-D23</f>
        <v>1.7708057242771247e-14</v>
      </c>
    </row>
    <row r="24" spans="1:5">
      <c r="A24" t="s">
        <v>50</v>
      </c>
      <c r="B24" t="s">
        <v>124</v>
      </c>
      <c r="C24" s="2">
        <f>Monthly!AJ11</f>
        <v>0.00019997779968501498</v>
      </c>
      <c r="D24" s="2">
        <v>0.0001999777996850031</v>
      </c>
      <c r="E24" s="2">
        <f>C24-D24</f>
        <v>1.49890950346121e-17</v>
      </c>
    </row>
    <row r="25" spans="1:5">
      <c r="A25" t="s">
        <v>50</v>
      </c>
      <c r="B25" t="s">
        <v>100</v>
      </c>
      <c r="C25" s="2">
        <f>Monthly!AK11</f>
        <v>-0.052091231213909794</v>
      </c>
      <c r="D25" s="2">
        <v>-0.05209123121390835</v>
      </c>
      <c r="E25" s="2">
        <f>C25-D25</f>
        <v>-1.797173521111972e-15</v>
      </c>
    </row>
    <row r="26" spans="1:5">
      <c r="A26" t="s">
        <v>50</v>
      </c>
      <c r="B26" t="s">
        <v>101</v>
      </c>
      <c r="C26" s="2">
        <f>Monthly!AL11</f>
        <v>-0.05263004803121751</v>
      </c>
      <c r="D26" s="2">
        <v>-0.05263004803121696</v>
      </c>
      <c r="E26" s="2">
        <f>C26-D26</f>
        <v>-5.134781488891349e-16</v>
      </c>
    </row>
    <row r="27" spans="1:5">
      <c r="A27" t="s">
        <v>50</v>
      </c>
      <c r="B27" t="s">
        <v>125</v>
      </c>
      <c r="C27" s="2">
        <f>Monthly!AX11</f>
        <v>0.03049935833778805</v>
      </c>
      <c r="D27" s="2">
        <v>0.03049935833778605</v>
      </c>
      <c r="E27" s="2">
        <f>C27-D27</f>
        <v>2.050443148604586e-15</v>
      </c>
    </row>
    <row r="28" spans="1:5">
      <c r="A28" t="s">
        <v>50</v>
      </c>
      <c r="B28" t="s">
        <v>126</v>
      </c>
      <c r="C28" s="2">
        <f>Monthly!AZ11</f>
        <v>-0.07859289940978953</v>
      </c>
      <c r="D28" s="2">
        <v>-0.07859289940978698</v>
      </c>
      <c r="E28" s="2">
        <f>C28-D28</f>
        <v>-2.525757381022231e-15</v>
      </c>
    </row>
    <row r="29" spans="1:5">
      <c r="A29" t="s">
        <v>50</v>
      </c>
      <c r="B29" t="s">
        <v>127</v>
      </c>
      <c r="C29" s="2">
        <f>Monthly!BA11</f>
        <v>-0.07913171622709725</v>
      </c>
      <c r="D29" s="2">
        <v>-0.07913171622709558</v>
      </c>
      <c r="E29" s="2">
        <f>C29-D29</f>
        <v>-1.2490009027033011e-15</v>
      </c>
    </row>
    <row r="30" spans="1:5">
      <c r="A30" t="s">
        <v>52</v>
      </c>
      <c r="B30" t="s">
        <v>122</v>
      </c>
      <c r="C30" s="2">
        <f>Monthly!R12</f>
        <v>0.0007733532257790787</v>
      </c>
      <c r="D30" s="2">
        <v>0.0007733532257790556</v>
      </c>
      <c r="E30" s="2">
        <f>C30-D30</f>
        <v>7.860465750519907e-17</v>
      </c>
    </row>
    <row r="31" spans="1:5">
      <c r="A31" t="s">
        <v>52</v>
      </c>
      <c r="B31" t="s">
        <v>83</v>
      </c>
      <c r="C31" s="2">
        <f>Monthly!T12</f>
        <v>0.001925535569042815</v>
      </c>
      <c r="D31" s="2">
        <v>0.001925535569042803</v>
      </c>
      <c r="E31" s="2">
        <f>C31-D31</f>
        <v>-1.8496489062602706e-16</v>
      </c>
    </row>
    <row r="32" spans="1:5">
      <c r="A32" t="s">
        <v>52</v>
      </c>
      <c r="B32" t="s">
        <v>123</v>
      </c>
      <c r="C32" s="2">
        <f>Monthly!V12</f>
        <v>1.3</v>
      </c>
      <c r="D32" s="2">
        <v>1.3</v>
      </c>
      <c r="E32" s="2">
        <f>C32-D32</f>
        <v>0.0</v>
      </c>
    </row>
    <row r="33" spans="1:5">
      <c r="A33" t="s">
        <v>52</v>
      </c>
      <c r="B33" t="s">
        <v>87</v>
      </c>
      <c r="C33" s="2">
        <f>Monthly!X13</f>
        <v>1.04</v>
      </c>
      <c r="D33" s="2">
        <v>1.04</v>
      </c>
      <c r="E33" s="2">
        <f>C33-D33</f>
        <v>0.0</v>
      </c>
    </row>
    <row r="34" spans="1:5">
      <c r="A34" t="s">
        <v>52</v>
      </c>
      <c r="B34" t="s">
        <v>88</v>
      </c>
      <c r="C34" s="2">
        <f>Monthly!Y13</f>
        <v>0.78</v>
      </c>
      <c r="D34" s="2">
        <v>0.78</v>
      </c>
      <c r="E34" s="2">
        <f>C34-D34</f>
        <v>0.0</v>
      </c>
    </row>
    <row r="35" spans="1:5">
      <c r="A35" t="s">
        <v>52</v>
      </c>
      <c r="B35" t="s">
        <v>94</v>
      </c>
      <c r="C35" s="2">
        <f>Monthly!AE13</f>
        <v>0.9975338899643615</v>
      </c>
      <c r="D35" s="2">
        <v>0.9975338899643613</v>
      </c>
      <c r="E35" s="2">
        <f>C35-D35</f>
        <v>5.551115123125783e-16</v>
      </c>
    </row>
    <row r="36" spans="1:5">
      <c r="A36" t="s">
        <v>52</v>
      </c>
      <c r="B36" t="s">
        <v>95</v>
      </c>
      <c r="C36" s="2">
        <f>Monthly!AF13</f>
        <v>0.7570823200154412</v>
      </c>
      <c r="D36" s="2">
        <v>0.75708232001544</v>
      </c>
      <c r="E36" s="2">
        <f>C36-D36</f>
        <v>1.2212453270876722e-15</v>
      </c>
    </row>
    <row r="37" spans="1:5">
      <c r="A37" t="s">
        <v>52</v>
      </c>
      <c r="B37" t="s">
        <v>98</v>
      </c>
      <c r="C37" s="2">
        <f>Monthly!AI13</f>
        <v>0.038893549001481786</v>
      </c>
      <c r="D37" s="2">
        <v>0.03889354900147968</v>
      </c>
      <c r="E37" s="2">
        <f>C37-D37</f>
        <v>1.7832957333041577e-15</v>
      </c>
    </row>
    <row r="38" spans="1:5">
      <c r="A38" t="s">
        <v>52</v>
      </c>
      <c r="B38" t="s">
        <v>124</v>
      </c>
      <c r="C38" s="2">
        <f>Monthly!AJ13</f>
        <v>3.487569439923821e-05</v>
      </c>
      <c r="D38" s="2">
        <v>3.487569439923643E-05</v>
      </c>
      <c r="E38" s="2">
        <f>C38-D38</f>
        <v>2.382127698222214e-16</v>
      </c>
    </row>
    <row r="39" spans="1:5">
      <c r="A39" t="s">
        <v>52</v>
      </c>
      <c r="B39" t="s">
        <v>100</v>
      </c>
      <c r="C39" s="2">
        <f>Monthly!AK13</f>
        <v>0.08772158166904043</v>
      </c>
      <c r="D39" s="2">
        <v>0.08772158166904198</v>
      </c>
      <c r="E39" s="2">
        <f>C39-D39</f>
        <v>-1.5681900222830336e-15</v>
      </c>
    </row>
    <row r="40" spans="1:5">
      <c r="A40" t="s">
        <v>52</v>
      </c>
      <c r="B40" t="s">
        <v>101</v>
      </c>
      <c r="C40" s="2">
        <f>Monthly!AL13</f>
        <v>0.08711300564268942</v>
      </c>
      <c r="D40" s="2">
        <v>0.08711300564269009</v>
      </c>
      <c r="E40" s="2">
        <f>C40-D40</f>
        <v>-5.828670879282072e-16</v>
      </c>
    </row>
    <row r="41" spans="1:5">
      <c r="A41" t="s">
        <v>52</v>
      </c>
      <c r="B41" t="s">
        <v>125</v>
      </c>
      <c r="C41" s="2">
        <f>Monthly!AX13</f>
        <v>0.031003534710476566</v>
      </c>
      <c r="D41" s="2">
        <v>0.03100353471047479</v>
      </c>
      <c r="E41" s="2">
        <f>C41-D41</f>
        <v>1.56472057533108e-15</v>
      </c>
    </row>
    <row r="42" spans="1:5">
      <c r="A42" t="s">
        <v>52</v>
      </c>
      <c r="B42" t="s">
        <v>126</v>
      </c>
      <c r="C42" s="2">
        <f>Monthly!AZ13</f>
        <v>0.0677168916187656</v>
      </c>
      <c r="D42" s="2">
        <v>0.06771689161876715</v>
      </c>
      <c r="E42" s="2">
        <f>C42-D42</f>
        <v>-1.4016565685892601e-15</v>
      </c>
    </row>
    <row r="43" spans="1:5">
      <c r="A43" t="s">
        <v>52</v>
      </c>
      <c r="B43" t="s">
        <v>127</v>
      </c>
      <c r="C43" s="2">
        <f>Monthly!BA13</f>
        <v>0.06710831559241459</v>
      </c>
      <c r="D43" s="2">
        <v>0.06710831559241526</v>
      </c>
      <c r="E43" s="2">
        <f>C43-D43</f>
        <v>-4.0245584642661925e-16</v>
      </c>
    </row>
    <row r="44" spans="1:5">
      <c r="A44" t="s">
        <v>53</v>
      </c>
      <c r="B44" t="s">
        <v>122</v>
      </c>
      <c r="C44" s="2">
        <f>Monthly!R13</f>
        <v>0.0018336508514910112</v>
      </c>
      <c r="D44" s="2">
        <v>0.00183365085149103</v>
      </c>
      <c r="E44" s="2">
        <f>C44-D44</f>
        <v>1.1275702593849246e-17</v>
      </c>
    </row>
    <row r="45" spans="1:5">
      <c r="A45" t="s">
        <v>53</v>
      </c>
      <c r="B45" t="s">
        <v>83</v>
      </c>
      <c r="C45" s="2">
        <f>Monthly!T13</f>
        <v>0.002305914443115245</v>
      </c>
      <c r="D45" s="2">
        <v>0.002305914443115242</v>
      </c>
      <c r="E45" s="2">
        <f>C45-D45</f>
        <v>2.45029690981724e-16</v>
      </c>
    </row>
    <row r="46" spans="1:5">
      <c r="A46" t="s">
        <v>53</v>
      </c>
      <c r="B46" t="s">
        <v>123</v>
      </c>
      <c r="C46" s="2">
        <f>Monthly!V13</f>
        <v>1.2575537165323585</v>
      </c>
      <c r="D46" s="2">
        <v>1.257553716532344</v>
      </c>
      <c r="E46" s="2">
        <f>C46-D46</f>
        <v>1.4432899320127035e-14</v>
      </c>
    </row>
    <row r="47" spans="1:5">
      <c r="A47" t="s">
        <v>53</v>
      </c>
      <c r="B47" t="s">
        <v>87</v>
      </c>
      <c r="C47" s="2">
        <f>Monthly!X14</f>
        <v>-0.3772661149597075</v>
      </c>
      <c r="D47" s="2">
        <v>-0.3772661149597032</v>
      </c>
      <c r="E47" s="2">
        <f>C47-D47</f>
        <v>-4.496403249731884e-15</v>
      </c>
    </row>
    <row r="48" spans="1:5">
      <c r="A48" t="s">
        <v>53</v>
      </c>
      <c r="B48" t="s">
        <v>88</v>
      </c>
      <c r="C48" s="2">
        <f>Monthly!Y14</f>
        <v>1.50906445983883</v>
      </c>
      <c r="D48" s="2">
        <v>1.509064459838813</v>
      </c>
      <c r="E48" s="2">
        <f>C48-D48</f>
        <v>1.709743457922741e-14</v>
      </c>
    </row>
    <row r="49" spans="1:5">
      <c r="A49" t="s">
        <v>53</v>
      </c>
      <c r="B49" t="s">
        <v>94</v>
      </c>
      <c r="C49" s="2">
        <f>Monthly!AE14</f>
        <v>-0.38293536786171356</v>
      </c>
      <c r="D49" s="2">
        <v>-0.3829353678617077</v>
      </c>
      <c r="E49" s="2">
        <f>C49-D49</f>
        <v>-5.551115123125783e-15</v>
      </c>
    </row>
    <row r="50" spans="1:5">
      <c r="A50" t="s">
        <v>53</v>
      </c>
      <c r="B50" t="s">
        <v>95</v>
      </c>
      <c r="C50" s="2">
        <f>Monthly!AF14</f>
        <v>1.5136590554269729</v>
      </c>
      <c r="D50" s="2">
        <v>1.513659055426954</v>
      </c>
      <c r="E50" s="2">
        <f>C50-D50</f>
        <v>1.887379141862766e-14</v>
      </c>
    </row>
    <row r="51" spans="1:5">
      <c r="A51" t="s">
        <v>53</v>
      </c>
      <c r="B51" t="s">
        <v>98</v>
      </c>
      <c r="C51" s="2">
        <f>Monthly!AI14</f>
        <v>2.126782144747458</v>
      </c>
      <c r="D51" s="2">
        <v>2.126782144747438</v>
      </c>
      <c r="E51" s="2">
        <f>C51-D51</f>
        <v>1.9984014443252818e-14</v>
      </c>
    </row>
    <row r="52" spans="1:5">
      <c r="A52" t="s">
        <v>53</v>
      </c>
      <c r="B52" t="s">
        <v>124</v>
      </c>
      <c r="C52" s="2">
        <f>Monthly!AJ14</f>
        <v>0.0014393821422854236</v>
      </c>
      <c r="D52" s="2">
        <v>0.001439382142285405</v>
      </c>
      <c r="E52" s="2">
        <f>C52-D52</f>
        <v>4.2348936857283803e-16</v>
      </c>
    </row>
    <row r="53" spans="1:5">
      <c r="A53" t="s">
        <v>53</v>
      </c>
      <c r="B53" t="s">
        <v>100</v>
      </c>
      <c r="C53" s="2">
        <f>Monthly!AK14</f>
        <v>0.007785594423113773</v>
      </c>
      <c r="D53" s="2">
        <v>0.007785594423116882</v>
      </c>
      <c r="E53" s="2">
        <f>C53-D53</f>
        <v>-3.226585665316861e-15</v>
      </c>
    </row>
    <row r="54" spans="1:5">
      <c r="A54" t="s">
        <v>53</v>
      </c>
      <c r="B54" t="s">
        <v>101</v>
      </c>
      <c r="C54" s="2">
        <f>Monthly!AL14</f>
        <v>0.0071735782172719365</v>
      </c>
      <c r="D54" s="2">
        <v>0.007173578217275711</v>
      </c>
      <c r="E54" s="2">
        <f>C54-D54</f>
        <v>-4.063589742475671e-15</v>
      </c>
    </row>
    <row r="55" spans="1:5">
      <c r="A55" t="s">
        <v>53</v>
      </c>
      <c r="B55" t="s">
        <v>125</v>
      </c>
      <c r="C55" s="2">
        <f>Monthly!AX14</f>
        <v>1.688429988172771</v>
      </c>
      <c r="D55" s="2">
        <v>1.688429988172772</v>
      </c>
      <c r="E55" s="2">
        <f>C55-D55</f>
        <v>-1.1102230246251565e-15</v>
      </c>
    </row>
    <row r="56" spans="1:5">
      <c r="A56" t="s">
        <v>53</v>
      </c>
      <c r="B56" t="s">
        <v>126</v>
      </c>
      <c r="C56" s="2">
        <f>Monthly!AZ14</f>
        <v>0.006356998808826564</v>
      </c>
      <c r="D56" s="2">
        <v>0.00635699880882945</v>
      </c>
      <c r="E56" s="2">
        <f>C56-D56</f>
        <v>-2.4364191220094256e-15</v>
      </c>
    </row>
    <row r="57" spans="1:5">
      <c r="A57" t="s">
        <v>53</v>
      </c>
      <c r="B57" t="s">
        <v>127</v>
      </c>
      <c r="C57" s="2">
        <f>Monthly!BA14</f>
        <v>0.005744982602984727</v>
      </c>
      <c r="D57" s="2">
        <v>0.00574498260298828</v>
      </c>
      <c r="E57" s="2">
        <f>C57-D57</f>
        <v>-3.2725558374302466e-15</v>
      </c>
    </row>
    <row r="58" spans="1:5">
      <c r="A58" t="s">
        <v>64</v>
      </c>
      <c r="B58" t="s">
        <v>122</v>
      </c>
      <c r="C58" s="2">
        <f>Monthly!R24</f>
        <v>0.0011912297513360789</v>
      </c>
      <c r="D58" s="2">
        <v>0.001191229751336094</v>
      </c>
      <c r="E58" s="2">
        <f>C58-D58</f>
        <v>7.892991815694472e-17</v>
      </c>
    </row>
    <row r="59" spans="1:5">
      <c r="A59" t="s">
        <v>64</v>
      </c>
      <c r="B59" t="s">
        <v>83</v>
      </c>
      <c r="C59" s="2">
        <f>Monthly!T24</f>
        <v>0.0012924735693897098</v>
      </c>
      <c r="D59" s="2">
        <v>0.001292473569389721</v>
      </c>
      <c r="E59" s="2">
        <f>C59-D59</f>
        <v>-2.90132501357121e-16</v>
      </c>
    </row>
    <row r="60" spans="1:5">
      <c r="A60" t="s">
        <v>64</v>
      </c>
      <c r="B60" t="s">
        <v>123</v>
      </c>
      <c r="C60" s="2">
        <f>Monthly!V24</f>
        <v>1.0849910086111234</v>
      </c>
      <c r="D60" s="2">
        <v>1.084991008611119</v>
      </c>
      <c r="E60" s="2">
        <f>C60-D60</f>
        <v>4.440892098500626e-15</v>
      </c>
    </row>
    <row r="61" spans="1:5">
      <c r="A61" t="s">
        <v>64</v>
      </c>
      <c r="B61" t="s">
        <v>87</v>
      </c>
      <c r="C61" s="2">
        <f>Monthly!X25</f>
        <v>-0.32549730258333703</v>
      </c>
      <c r="D61" s="2">
        <v>-0.3254973025833358</v>
      </c>
      <c r="E61" s="2">
        <f>C61-D61</f>
        <v>-1.0547118733938987e-15</v>
      </c>
    </row>
    <row r="62" spans="1:5">
      <c r="A62" t="s">
        <v>64</v>
      </c>
      <c r="B62" t="s">
        <v>88</v>
      </c>
      <c r="C62" s="2">
        <f>Monthly!Y25</f>
        <v>1.3019892103333481</v>
      </c>
      <c r="D62" s="2">
        <v>1.301989210333343</v>
      </c>
      <c r="E62" s="2">
        <f>C62-D62</f>
        <v>5.10702591327572e-15</v>
      </c>
    </row>
    <row r="63" spans="1:5">
      <c r="A63" t="s">
        <v>64</v>
      </c>
      <c r="B63" t="s">
        <v>94</v>
      </c>
      <c r="C63" s="2">
        <f>Monthly!AE25</f>
        <v>-0.32408183706205046</v>
      </c>
      <c r="D63" s="2">
        <v>-0.324081837062049</v>
      </c>
      <c r="E63" s="2">
        <f>C63-D63</f>
        <v>-1.4432899320127035e-15</v>
      </c>
    </row>
    <row r="64" spans="1:5">
      <c r="A64" t="s">
        <v>64</v>
      </c>
      <c r="B64" t="s">
        <v>95</v>
      </c>
      <c r="C64" s="2">
        <f>Monthly!AF25</f>
        <v>1.3004926458414983</v>
      </c>
      <c r="D64" s="2">
        <v>1.300492645841493</v>
      </c>
      <c r="E64" s="2">
        <f>C64-D64</f>
        <v>5.329070518200751e-15</v>
      </c>
    </row>
    <row r="65" spans="1:5">
      <c r="A65" t="s">
        <v>64</v>
      </c>
      <c r="B65" t="s">
        <v>98</v>
      </c>
      <c r="C65" s="2">
        <f>Monthly!AI25</f>
        <v>0.16397698419058304</v>
      </c>
      <c r="D65" s="2">
        <v>0.1639769841905889</v>
      </c>
      <c r="E65" s="2">
        <f>C65-D65</f>
        <v>-5.9674487573602164e-15</v>
      </c>
    </row>
    <row r="66" spans="1:5">
      <c r="A66" t="s">
        <v>64</v>
      </c>
      <c r="B66" t="s">
        <v>124</v>
      </c>
      <c r="C66" s="2">
        <f>Monthly!AJ25</f>
        <v>0.00014874373402110546</v>
      </c>
      <c r="D66" s="2">
        <v>0.0001487437340211108</v>
      </c>
      <c r="E66" s="2">
        <f>C66-D66</f>
        <v>1.0546576632852744e-16</v>
      </c>
    </row>
    <row r="67" spans="1:5">
      <c r="A67" t="s">
        <v>64</v>
      </c>
      <c r="B67" t="s">
        <v>100</v>
      </c>
      <c r="C67" s="2">
        <f>Monthly!AK25</f>
        <v>-0.002612211732215597</v>
      </c>
      <c r="D67" s="2">
        <v>-0.002612211732215819</v>
      </c>
      <c r="E67" s="2">
        <f>C67-D67</f>
        <v>4.0332320816460765e-16</v>
      </c>
    </row>
    <row r="68" spans="1:5">
      <c r="A68" t="s">
        <v>64</v>
      </c>
      <c r="B68" t="s">
        <v>101</v>
      </c>
      <c r="C68" s="2">
        <f>Monthly!AL25</f>
        <v>-0.003589709509513428</v>
      </c>
      <c r="D68" s="2">
        <v>-0.00358970950951365</v>
      </c>
      <c r="E68" s="2">
        <f>C68-D68</f>
        <v>5.720250662033521e-16</v>
      </c>
    </row>
    <row r="69" spans="1:5">
      <c r="A69" t="s">
        <v>64</v>
      </c>
      <c r="B69" t="s">
        <v>125</v>
      </c>
      <c r="C69" s="2">
        <f>Monthly!AX25</f>
        <v>0.0035863269040454226</v>
      </c>
      <c r="D69" s="2">
        <v>0.003586326904045534</v>
      </c>
      <c r="E69" s="2">
        <f>C69-D69</f>
        <v>-5.772292366312826e-16</v>
      </c>
    </row>
    <row r="70" spans="1:5">
      <c r="A70" t="s">
        <v>64</v>
      </c>
      <c r="B70" t="s">
        <v>126</v>
      </c>
      <c r="C70" s="2">
        <f>Monthly!AZ25</f>
        <v>-0.00219681730439536</v>
      </c>
      <c r="D70" s="2">
        <v>-0.00219681730439536</v>
      </c>
      <c r="E70" s="2">
        <f>C70-D70</f>
        <v>-3.5995512126518747e-16</v>
      </c>
    </row>
    <row r="71" spans="1:5">
      <c r="A71" t="s">
        <v>64</v>
      </c>
      <c r="B71" t="s">
        <v>127</v>
      </c>
      <c r="C71" s="2">
        <f>Monthly!BA25</f>
        <v>-0.003174315081693191</v>
      </c>
      <c r="D71" s="2">
        <v>-0.003174315081693191</v>
      </c>
      <c r="E71" s="2">
        <f>C71-D71</f>
        <v>-1.9081958235744878e-16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53" s="1" customFormat="1" ht="45" customHeight="1">
      <c r="A1" s="1" t="s">
        <v>25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</row>
    <row r="2" spans="1:53">
      <c r="A2" t="s">
        <v>41</v>
      </c>
      <c r="B2" s="2">
        <f>MATCH(C2,Inputs!$D$2:$D$3,0)</f>
        <v>1.0</v>
      </c>
      <c r="C2" s="2">
        <f>VALUE(LEFT(A2,4))</f>
        <v>2016.0</v>
      </c>
      <c r="D2" s="2">
        <f>EXP(SUMIFS(Daily!$L$2:$L$504,Daily!$B$2:$B$504,A2))-1</f>
        <v>0.0002020287520241304</v>
      </c>
      <c r="E2" s="2">
        <f>EXP(SUMIFS(Daily!$J$2:$J$504,Daily!$B$2:$B$504,A2))-EXP(SUMIFS(Daily!$L$2:$L$504,Daily!$B$2:$B$504,A2))</f>
        <v>-0.02017376921600611</v>
      </c>
      <c r="F2" s="2">
        <f>SUMIFS(Daily!$H$2:$H$504,Daily!$B$2:$B$504,A2)</f>
        <v>0.00442811178762741</v>
      </c>
      <c r="G2" s="2">
        <f>1/F2</f>
        <v>225.82989047252616</v>
      </c>
      <c r="H2" s="2">
        <f>E3</f>
        <v>0.07645197641995671</v>
      </c>
      <c r="I2" s="2">
        <f>H2*G2</f>
        <v>17.265141461326976</v>
      </c>
      <c r="K2" s="2">
        <f>EXP(SUMIFS(Daily!$K$2:$K$504,Daily!$B$2:$B$504,A2))-EXP(SUMIFS(Daily!$L$2:$L$504,Daily!$B$2:$B$504,A2))</f>
        <v>0.08184166250678859</v>
      </c>
      <c r="L2" s="2">
        <f>SUMIFS(Daily!$I$2:$I$504,Daily!$B$2:$B$504,A2)</f>
        <v>0.0016086536761344354</v>
      </c>
      <c r="M2" s="2">
        <f>1/L2</f>
        <v>621.6378421506992</v>
      </c>
      <c r="N2" s="2">
        <f>K3</f>
        <v>0.014763918220186856</v>
      </c>
      <c r="O2" s="2">
        <f>N2*M2</f>
        <v>9.177810264086348</v>
      </c>
    </row>
    <row r="3" spans="1:53">
      <c r="A3" t="s">
        <v>42</v>
      </c>
      <c r="B3" s="2">
        <f>MATCH(C3,Inputs!$D$2:$D$3,0)</f>
        <v>1.0</v>
      </c>
      <c r="C3" s="2">
        <f>VALUE(LEFT(A3,4))</f>
        <v>2016.0</v>
      </c>
      <c r="D3" s="2">
        <f>EXP(SUMIFS(Daily!$L$2:$L$504,Daily!$B$2:$B$504,A3))-1</f>
        <v>0.00024349871918394328</v>
      </c>
      <c r="E3" s="2">
        <f>EXP(SUMIFS(Daily!$J$2:$J$504,Daily!$B$2:$B$504,A3))-EXP(SUMIFS(Daily!$L$2:$L$504,Daily!$B$2:$B$504,A3))</f>
        <v>0.07645197641995671</v>
      </c>
      <c r="F3" s="2">
        <f>SUMIFS(Daily!$H$2:$H$504,Daily!$B$2:$B$504,A3)</f>
        <v>0.005659295205347391</v>
      </c>
      <c r="G3" s="2">
        <f>1/F3</f>
        <v>176.7004483270485</v>
      </c>
      <c r="H3" s="2">
        <f>E4</f>
        <v>-0.00016803030313639056</v>
      </c>
      <c r="I3" s="2">
        <f>H3*G3</f>
        <v>-0.029691029896730073</v>
      </c>
      <c r="K3" s="2">
        <f>EXP(SUMIFS(Daily!$K$2:$K$504,Daily!$B$2:$B$504,A3))-EXP(SUMIFS(Daily!$L$2:$L$504,Daily!$B$2:$B$504,A3))</f>
        <v>0.014763918220186856</v>
      </c>
      <c r="L3" s="2">
        <f>SUMIFS(Daily!$I$2:$I$504,Daily!$B$2:$B$504,A3)</f>
        <v>0.003290402364774313</v>
      </c>
      <c r="M3" s="2">
        <f>1/L3</f>
        <v>303.91419928018115</v>
      </c>
      <c r="N3" s="2">
        <f>K4</f>
        <v>0.037870645247941814</v>
      </c>
      <c r="O3" s="2">
        <f>N3*M3</f>
        <v>11.509426826752033</v>
      </c>
    </row>
    <row r="4" spans="1:53">
      <c r="A4" t="s">
        <v>43</v>
      </c>
      <c r="B4" s="2">
        <f>MATCH(C4,Inputs!$D$2:$D$3,0)</f>
        <v>1.0</v>
      </c>
      <c r="C4" s="2">
        <f>VALUE(LEFT(A4,4))</f>
        <v>2016.0</v>
      </c>
      <c r="D4" s="2">
        <f>EXP(SUMIFS(Daily!$L$2:$L$504,Daily!$B$2:$B$504,A4))-1</f>
        <v>0.0003043824098851733</v>
      </c>
      <c r="E4" s="2">
        <f>EXP(SUMIFS(Daily!$J$2:$J$504,Daily!$B$2:$B$504,A4))-EXP(SUMIFS(Daily!$L$2:$L$504,Daily!$B$2:$B$504,A4))</f>
        <v>-0.00016803030313639056</v>
      </c>
      <c r="F4" s="2">
        <f>SUMIFS(Daily!$H$2:$H$504,Daily!$B$2:$B$504,A4)</f>
        <v>0.0019916547227836934</v>
      </c>
      <c r="G4" s="2">
        <f>1/F4</f>
        <v>502.09506123748264</v>
      </c>
      <c r="H4" s="2">
        <f>E5</f>
        <v>0.07256015786333747</v>
      </c>
      <c r="I4" s="2">
        <f>H4*G4</f>
        <v>36.432096905793834</v>
      </c>
      <c r="K4" s="2">
        <f>EXP(SUMIFS(Daily!$K$2:$K$504,Daily!$B$2:$B$504,A4))-EXP(SUMIFS(Daily!$L$2:$L$504,Daily!$B$2:$B$504,A4))</f>
        <v>0.037870645247941814</v>
      </c>
      <c r="L4" s="2">
        <f>SUMIFS(Daily!$I$2:$I$504,Daily!$B$2:$B$504,A4)</f>
        <v>0.002275714927289124</v>
      </c>
      <c r="M4" s="2">
        <f>1/L4</f>
        <v>439.4223494377741</v>
      </c>
      <c r="N4" s="2">
        <f>K5</f>
        <v>0.025952821972502038</v>
      </c>
      <c r="O4" s="2">
        <f>N4*M4</f>
        <v>11.404250005697131</v>
      </c>
    </row>
    <row r="5" spans="1:53">
      <c r="A5" t="s">
        <v>44</v>
      </c>
      <c r="B5" s="2">
        <f>MATCH(C5,Inputs!$D$2:$D$3,0)</f>
        <v>1.0</v>
      </c>
      <c r="C5" s="2">
        <f>VALUE(LEFT(A5,4))</f>
        <v>2016.0</v>
      </c>
      <c r="D5" s="2">
        <f>EXP(SUMIFS(Daily!$L$2:$L$504,Daily!$B$2:$B$504,A5))-1</f>
        <v>0.00032624588995044945</v>
      </c>
      <c r="E5" s="2">
        <f>EXP(SUMIFS(Daily!$J$2:$J$504,Daily!$B$2:$B$504,A5))-EXP(SUMIFS(Daily!$L$2:$L$504,Daily!$B$2:$B$504,A5))</f>
        <v>0.07256015786333747</v>
      </c>
      <c r="F5" s="2">
        <f>SUMIFS(Daily!$H$2:$H$504,Daily!$B$2:$B$504,A5)</f>
        <v>0.002819913116349628</v>
      </c>
      <c r="G5" s="2">
        <f>1/F5</f>
        <v>354.6208548774361</v>
      </c>
      <c r="H5" s="2">
        <f>E6</f>
        <v>0.05211959297773783</v>
      </c>
      <c r="I5" s="2">
        <f>H5*G5</f>
        <v>18.482694617629402</v>
      </c>
      <c r="K5" s="2">
        <f>EXP(SUMIFS(Daily!$K$2:$K$504,Daily!$B$2:$B$504,A5))-EXP(SUMIFS(Daily!$L$2:$L$504,Daily!$B$2:$B$504,A5))</f>
        <v>0.025952821972502038</v>
      </c>
      <c r="L5" s="2">
        <f>SUMIFS(Daily!$I$2:$I$504,Daily!$B$2:$B$504,A5)</f>
        <v>0.0021720078870387997</v>
      </c>
      <c r="M5" s="2">
        <f>1/L5</f>
        <v>460.40348470527283</v>
      </c>
      <c r="N5" s="2">
        <f>K6</f>
        <v>0.030510272863978116</v>
      </c>
      <c r="O5" s="2">
        <f>N5*M5</f>
        <v>14.04703594588425</v>
      </c>
    </row>
    <row r="6" spans="1:53">
      <c r="A6" t="s">
        <v>45</v>
      </c>
      <c r="B6" s="2">
        <f>MATCH(C6,Inputs!$D$2:$D$3,0)</f>
        <v>1.0</v>
      </c>
      <c r="C6" s="2">
        <f>VALUE(LEFT(A6,4))</f>
        <v>2016.0</v>
      </c>
      <c r="D6" s="2">
        <f>EXP(SUMIFS(Daily!$L$2:$L$504,Daily!$B$2:$B$504,A6))-1</f>
        <v>0.00036111785804271435</v>
      </c>
      <c r="E6" s="2">
        <f>EXP(SUMIFS(Daily!$J$2:$J$504,Daily!$B$2:$B$504,A6))-EXP(SUMIFS(Daily!$L$2:$L$504,Daily!$B$2:$B$504,A6))</f>
        <v>0.05211959297773783</v>
      </c>
      <c r="F6" s="2">
        <f>SUMIFS(Daily!$H$2:$H$504,Daily!$B$2:$B$504,A6)</f>
        <v>0.0034393887144462333</v>
      </c>
      <c r="G6" s="2">
        <f>1/F6</f>
        <v>290.7493403696323</v>
      </c>
      <c r="H6" s="2">
        <f>E7</f>
        <v>-0.021391245555010374</v>
      </c>
      <c r="I6" s="2">
        <f>H6*G6</f>
        <v>-6.219490534804096</v>
      </c>
      <c r="K6" s="2">
        <f>EXP(SUMIFS(Daily!$K$2:$K$504,Daily!$B$2:$B$504,A6))-EXP(SUMIFS(Daily!$L$2:$L$504,Daily!$B$2:$B$504,A6))</f>
        <v>0.030510272863978116</v>
      </c>
      <c r="L6" s="2">
        <f>SUMIFS(Daily!$I$2:$I$504,Daily!$B$2:$B$504,A6)</f>
        <v>0.0033383019694046084</v>
      </c>
      <c r="M6" s="2">
        <f>1/L6</f>
        <v>299.5534883197974</v>
      </c>
      <c r="N6" s="2">
        <f>K7</f>
        <v>-0.01115322594487056</v>
      </c>
      <c r="O6" s="2">
        <f>N6*M6</f>
        <v>-3.3409877378048445</v>
      </c>
    </row>
    <row r="7" spans="1:53">
      <c r="A7" t="s">
        <v>46</v>
      </c>
      <c r="B7" s="2">
        <f>MATCH(C7,Inputs!$D$2:$D$3,0)</f>
        <v>1.0</v>
      </c>
      <c r="C7" s="2">
        <f>VALUE(LEFT(A7,4))</f>
        <v>2016.0</v>
      </c>
      <c r="D7" s="2">
        <f>EXP(SUMIFS(Daily!$L$2:$L$504,Daily!$B$2:$B$504,A7))-1</f>
        <v>0.00041572149043012097</v>
      </c>
      <c r="E7" s="2">
        <f>EXP(SUMIFS(Daily!$J$2:$J$504,Daily!$B$2:$B$504,A7))-EXP(SUMIFS(Daily!$L$2:$L$504,Daily!$B$2:$B$504,A7))</f>
        <v>-0.021391245555010374</v>
      </c>
      <c r="F7" s="2">
        <f>SUMIFS(Daily!$H$2:$H$504,Daily!$B$2:$B$504,A7)</f>
        <v>0.0011919874524319797</v>
      </c>
      <c r="G7" s="2">
        <f>1/F7</f>
        <v>838.9350055319183</v>
      </c>
      <c r="H7" s="2">
        <f>E8</f>
        <v>0.046160081661436037</v>
      </c>
      <c r="I7" s="2">
        <f>H7*G7</f>
        <v>38.72530836399064</v>
      </c>
      <c r="K7" s="2">
        <f>EXP(SUMIFS(Daily!$K$2:$K$504,Daily!$B$2:$B$504,A7))-EXP(SUMIFS(Daily!$L$2:$L$504,Daily!$B$2:$B$504,A7))</f>
        <v>-0.01115322594487056</v>
      </c>
      <c r="L7" s="2">
        <f>SUMIFS(Daily!$I$2:$I$504,Daily!$B$2:$B$504,A7)</f>
        <v>0.0023736483234864736</v>
      </c>
      <c r="M7" s="2">
        <f>1/L7</f>
        <v>421.2924004391582</v>
      </c>
      <c r="N7" s="2">
        <f>K8</f>
        <v>-0.035492571120186</v>
      </c>
      <c r="O7" s="2">
        <f>N7*M7</f>
        <v>-14.952750484980703</v>
      </c>
    </row>
    <row r="8" spans="1:53">
      <c r="A8" t="s">
        <v>47</v>
      </c>
      <c r="B8" s="2">
        <f>MATCH(C8,Inputs!$D$2:$D$3,0)</f>
        <v>1.0</v>
      </c>
      <c r="C8" s="2">
        <f>VALUE(LEFT(A8,4))</f>
        <v>2016.0</v>
      </c>
      <c r="D8" s="2">
        <f>EXP(SUMIFS(Daily!$L$2:$L$504,Daily!$B$2:$B$504,A8))-1</f>
        <v>0.0004111344623709545</v>
      </c>
      <c r="E8" s="2">
        <f>EXP(SUMIFS(Daily!$J$2:$J$504,Daily!$B$2:$B$504,A8))-EXP(SUMIFS(Daily!$L$2:$L$504,Daily!$B$2:$B$504,A8))</f>
        <v>0.046160081661436037</v>
      </c>
      <c r="F8" s="2">
        <f>SUMIFS(Daily!$H$2:$H$504,Daily!$B$2:$B$504,A8)</f>
        <v>0.0011360445069637133</v>
      </c>
      <c r="G8" s="2">
        <f>1/F8</f>
        <v>880.2472032303407</v>
      </c>
      <c r="H8" s="2">
        <f>E9</f>
        <v>-0.052514005420515986</v>
      </c>
      <c r="I8" s="2">
        <f>H8*G8</f>
        <v>-46.22530640183215</v>
      </c>
      <c r="J8" s="2">
        <f>STDEV(H$2:H7)/STDEV(I$2:I7)</f>
        <v>0.00217163928527888</v>
      </c>
      <c r="K8" s="2">
        <f>EXP(SUMIFS(Daily!$K$2:$K$504,Daily!$B$2:$B$504,A8))-EXP(SUMIFS(Daily!$L$2:$L$504,Daily!$B$2:$B$504,A8))</f>
        <v>-0.035492571120186</v>
      </c>
      <c r="L8" s="2">
        <f>SUMIFS(Daily!$I$2:$I$504,Daily!$B$2:$B$504,A8)</f>
        <v>0.0025668767044766897</v>
      </c>
      <c r="M8" s="2">
        <f>1/L8</f>
        <v>389.5785092661357</v>
      </c>
      <c r="N8" s="2">
        <f>K9</f>
        <v>-0.03242638378143259</v>
      </c>
      <c r="O8" s="2">
        <f>N8*M8</f>
        <v>-12.632622254462108</v>
      </c>
      <c r="P8" s="2">
        <f>STDEV(N$2:N7)/STDEV(O$2:O7)</f>
        <v>0.0024785600162949718</v>
      </c>
      <c r="Q8" s="2">
        <f>B9</f>
        <v>1.0</v>
      </c>
      <c r="R8" s="2">
        <f>IF(Q8=1,F8,L8)</f>
        <v>0.0011360445069637133</v>
      </c>
      <c r="S8" s="2">
        <f>IF(Q8=1,G8,M8)</f>
        <v>880.2472032303407</v>
      </c>
      <c r="T8" s="2">
        <f>IF(Q8=1,J8,P8)</f>
        <v>0.00217163928527888</v>
      </c>
      <c r="U8" s="2">
        <f>T8*S8</f>
        <v>1.91157940729187</v>
      </c>
      <c r="V8" s="2">
        <f>MIN(Inputs!$B$2,MAX(0,U8))</f>
        <v>1.3</v>
      </c>
    </row>
    <row r="9" spans="1:53">
      <c r="A9" t="s">
        <v>48</v>
      </c>
      <c r="B9" s="2">
        <f>MATCH(C9,Inputs!$D$2:$D$3,0)</f>
        <v>1.0</v>
      </c>
      <c r="C9" s="2">
        <f>VALUE(LEFT(A9,4))</f>
        <v>2016.0</v>
      </c>
      <c r="D9" s="2">
        <f>EXP(SUMIFS(Daily!$L$2:$L$504,Daily!$B$2:$B$504,A9))-1</f>
        <v>0.0005119272909754891</v>
      </c>
      <c r="E9" s="2">
        <f>EXP(SUMIFS(Daily!$J$2:$J$504,Daily!$B$2:$B$504,A9))-EXP(SUMIFS(Daily!$L$2:$L$504,Daily!$B$2:$B$504,A9))</f>
        <v>-0.052514005420515986</v>
      </c>
      <c r="F9" s="2">
        <f>SUMIFS(Daily!$H$2:$H$504,Daily!$B$2:$B$504,A9)</f>
        <v>0.0019478931819198505</v>
      </c>
      <c r="G9" s="2">
        <f>1/F9</f>
        <v>513.375173383171</v>
      </c>
      <c r="H9" s="2">
        <f>E10</f>
        <v>0.010664272904153282</v>
      </c>
      <c r="I9" s="2">
        <f>H9*G9</f>
        <v>5.474772951175145</v>
      </c>
      <c r="J9" s="2">
        <f>STDEV(H$2:H8)/STDEV(I$2:I8)</f>
        <v>0.0016994245618427032</v>
      </c>
      <c r="K9" s="2">
        <f>EXP(SUMIFS(Daily!$K$2:$K$504,Daily!$B$2:$B$504,A9))-EXP(SUMIFS(Daily!$L$2:$L$504,Daily!$B$2:$B$504,A9))</f>
        <v>-0.03242638378143259</v>
      </c>
      <c r="L9" s="2">
        <f>SUMIFS(Daily!$I$2:$I$504,Daily!$B$2:$B$504,A9)</f>
        <v>0.0022074052988316404</v>
      </c>
      <c r="M9" s="2">
        <f>1/L9</f>
        <v>453.0205669657905</v>
      </c>
      <c r="N9" s="2">
        <f>K10</f>
        <v>-0.030535871952767635</v>
      </c>
      <c r="O9" s="2">
        <f>N9*M9</f>
        <v>-13.833378024837575</v>
      </c>
      <c r="P9" s="2">
        <f>STDEV(N$2:N8)/STDEV(O$2:O8)</f>
        <v>0.0024789169172254005</v>
      </c>
      <c r="Q9" s="2">
        <f>B10</f>
        <v>1.0</v>
      </c>
      <c r="R9" s="2">
        <f>IF(Q9=1,F9,L9)</f>
        <v>0.0019478931819198505</v>
      </c>
      <c r="S9" s="2">
        <f>IF(Q9=1,G9,M9)</f>
        <v>513.375173383171</v>
      </c>
      <c r="T9" s="2">
        <f>IF(Q9=1,J9,P9)</f>
        <v>0.0016994245618427032</v>
      </c>
      <c r="U9" s="2">
        <f>T9*S9</f>
        <v>0.8724423790876172</v>
      </c>
      <c r="V9" s="2">
        <f>MIN(Inputs!$B$2,MAX(0,U9))</f>
        <v>0.8724423790876172</v>
      </c>
      <c r="W9" s="2">
        <f>V8</f>
        <v>1.3</v>
      </c>
      <c r="X9" s="2">
        <f>W9*INDEX(Inputs!$E$2:$E$3,B9)</f>
        <v>1.04</v>
      </c>
      <c r="Y9" s="2">
        <f>W9*INDEX(Inputs!$F$2:$F$3,B9)</f>
        <v>0.78</v>
      </c>
      <c r="Z9" s="2">
        <f>1-X9-Y9</f>
        <v>-0.8200000000000001</v>
      </c>
      <c r="AA9" s="2">
        <f>IF(X9&lt;0,EXP(SUMIFS(Daily!$O$2:$O$504,Daily!$B$2:$B$504,A9)),EXP(SUMIFS(Daily!$M$2:$M$504,Daily!$B$2:$B$504,A9)))</f>
        <v>0.9617582306400569</v>
      </c>
      <c r="AB9" s="2">
        <f>IF(Y9&lt;0,EXP(SUMIFS(Daily!$P$2:$P$504,Daily!$B$2:$B$504,A9)),EXP(SUMIFS(Daily!$N$2:$N$504,Daily!$B$2:$B$504,A9)))</f>
        <v>0.9640045738498018</v>
      </c>
      <c r="AC9" s="2">
        <f>IF(Z9&lt;0,EXP(SUMIFS(Daily!$Q$2:$Q$504,Daily!$B$2:$B$504,A9)),1+D9)</f>
        <v>1.0009685996155846</v>
      </c>
      <c r="AD9" s="2">
        <f>X9*AA9+Y9*AB9+Z9*AC9</f>
        <v>0.9313578757837253</v>
      </c>
      <c r="AE9" s="2">
        <f>X9*AA9/AD9</f>
        <v>1.0739465310517509</v>
      </c>
      <c r="AF9" s="2">
        <f>Y9*AB9/AD9</f>
        <v>0.8073411812512045</v>
      </c>
      <c r="AG9" s="2">
        <f>ABS(X9-0)</f>
        <v>1.04</v>
      </c>
      <c r="AH9" s="2">
        <f>ABS(Y9-0)</f>
        <v>0.78</v>
      </c>
      <c r="AI9" s="2">
        <f>AG9+AH9</f>
        <v>1.82</v>
      </c>
      <c r="AJ9" s="2">
        <f>Inputs!$B$4*AG9+Inputs!$B$5*AH9</f>
        <v>0.0013000000000000002</v>
      </c>
      <c r="AK9" s="2">
        <f>(1-AJ9)*AD9-1</f>
        <v>-0.06985288945479351</v>
      </c>
      <c r="AL9" s="2">
        <f>AK9-D9</f>
        <v>-0.070364816745769</v>
      </c>
      <c r="AM9" s="2">
        <f>1*INDEX(Inputs!$E$2:$E$3,B9)</f>
        <v>0.8</v>
      </c>
      <c r="AN9" s="2">
        <f>1*INDEX(Inputs!$F$2:$F$3,B9)</f>
        <v>0.6</v>
      </c>
      <c r="AO9" s="2">
        <f>1-AM9-AN9</f>
        <v>-0.4</v>
      </c>
      <c r="AP9" s="2">
        <f>IF(AM9&lt;0,EXP(SUMIFS(Daily!$O$2:$O$504,Daily!$B$2:$B$504,A9)),EXP(SUMIFS(Daily!$M$2:$M$504,Daily!$B$2:$B$504,A9)))</f>
        <v>0.9617582306400569</v>
      </c>
      <c r="AQ9" s="2">
        <f>IF(AN9&lt;0,EXP(SUMIFS(Daily!$P$2:$P$504,Daily!$B$2:$B$504,A9)),EXP(SUMIFS(Daily!$N$2:$N$504,Daily!$B$2:$B$504,A9)))</f>
        <v>0.9640045738498018</v>
      </c>
      <c r="AR9" s="2">
        <f>IF(AO9&lt;0,EXP(SUMIFS(Daily!$Q$2:$Q$504,Daily!$B$2:$B$504,A9)),1+D9)</f>
        <v>1.0009685996155846</v>
      </c>
      <c r="AS9" s="2">
        <f>AM9*AP9+AN9*AQ9+AO9*AR9</f>
        <v>0.9474218889756927</v>
      </c>
      <c r="AT9" s="2">
        <f>AM9*AP9/AS9</f>
        <v>0.8121055608540892</v>
      </c>
      <c r="AU9" s="2">
        <f>AN9*AQ9/AS9</f>
        <v>0.6105017743839785</v>
      </c>
      <c r="AV9" s="2">
        <f>ABS(AM9-0)</f>
        <v>0.8</v>
      </c>
      <c r="AW9" s="2">
        <f>ABS(AN9-0)</f>
        <v>0.6</v>
      </c>
      <c r="AX9" s="2">
        <f>AV9+AW9</f>
        <v>1.4</v>
      </c>
      <c r="AY9" s="2">
        <f>Inputs!$B$4*AV9+Inputs!$B$5*AW9</f>
        <v>0.001</v>
      </c>
      <c r="AZ9" s="2">
        <f>(1-AY9)*AS9-1</f>
        <v>-0.05352553291328299</v>
      </c>
      <c r="BA9" s="2">
        <f>AZ9-D9</f>
        <v>-0.05403746020425848</v>
      </c>
    </row>
    <row r="10" spans="1:53">
      <c r="A10" t="s">
        <v>49</v>
      </c>
      <c r="B10" s="2">
        <f>MATCH(C10,Inputs!$D$2:$D$3,0)</f>
        <v>1.0</v>
      </c>
      <c r="C10" s="2">
        <f>VALUE(LEFT(A10,4))</f>
        <v>2016.0</v>
      </c>
      <c r="D10" s="2">
        <f>EXP(SUMIFS(Daily!$L$2:$L$504,Daily!$B$2:$B$504,A10))-1</f>
        <v>0.0005039389497363267</v>
      </c>
      <c r="E10" s="2">
        <f>EXP(SUMIFS(Daily!$J$2:$J$504,Daily!$B$2:$B$504,A10))-EXP(SUMIFS(Daily!$L$2:$L$504,Daily!$B$2:$B$504,A10))</f>
        <v>0.010664272904153282</v>
      </c>
      <c r="F10" s="2">
        <f>SUMIFS(Daily!$H$2:$H$504,Daily!$B$2:$B$504,A10)</f>
        <v>0.0025713485478088558</v>
      </c>
      <c r="G10" s="2">
        <f>1/F10</f>
        <v>388.9009916030785</v>
      </c>
      <c r="H10" s="2">
        <f>E11</f>
        <v>-0.07907046724270439</v>
      </c>
      <c r="I10" s="2">
        <f>H10*G10</f>
        <v>-30.750583117206475</v>
      </c>
      <c r="J10" s="2">
        <f>STDEV(H$2:H9)/STDEV(I$2:I9)</f>
        <v>0.0017081033661356959</v>
      </c>
      <c r="K10" s="2">
        <f>EXP(SUMIFS(Daily!$K$2:$K$504,Daily!$B$2:$B$504,A10))-EXP(SUMIFS(Daily!$L$2:$L$504,Daily!$B$2:$B$504,A10))</f>
        <v>-0.030535871952767635</v>
      </c>
      <c r="L10" s="2">
        <f>SUMIFS(Daily!$I$2:$I$504,Daily!$B$2:$B$504,A10)</f>
        <v>0.0025906541866906967</v>
      </c>
      <c r="M10" s="2">
        <f>1/L10</f>
        <v>386.0028888214527</v>
      </c>
      <c r="N10" s="2">
        <f>K11</f>
        <v>0.0264359742700071</v>
      </c>
      <c r="O10" s="2">
        <f>N10*M10</f>
        <v>10.204362437032335</v>
      </c>
      <c r="P10" s="2">
        <f>STDEV(N$2:N9)/STDEV(O$2:O9)</f>
        <v>0.0024217552509954565</v>
      </c>
      <c r="Q10" s="2">
        <f>B11</f>
        <v>1.0</v>
      </c>
      <c r="R10" s="2">
        <f>IF(Q10=1,F10,L10)</f>
        <v>0.0025713485478088558</v>
      </c>
      <c r="S10" s="2">
        <f>IF(Q10=1,G10,M10)</f>
        <v>388.9009916030785</v>
      </c>
      <c r="T10" s="2">
        <f>IF(Q10=1,J10,P10)</f>
        <v>0.0017081033661356959</v>
      </c>
      <c r="U10" s="2">
        <f>T10*S10</f>
        <v>0.6642830928507284</v>
      </c>
      <c r="V10" s="2">
        <f>MIN(Inputs!$B$2,MAX(0,U10))</f>
        <v>0.6642830928507284</v>
      </c>
      <c r="W10" s="2">
        <f>V9</f>
        <v>0.8724423790876172</v>
      </c>
      <c r="X10" s="2">
        <f>W10*INDEX(Inputs!$E$2:$E$3,B10)</f>
        <v>0.6979539032700939</v>
      </c>
      <c r="Y10" s="2">
        <f>W10*INDEX(Inputs!$F$2:$F$3,B10)</f>
        <v>0.5234654274525703</v>
      </c>
      <c r="Z10" s="2">
        <f>1-X10-Y10</f>
        <v>-0.22141933072266418</v>
      </c>
      <c r="AA10" s="2">
        <f>IF(X10&lt;0,EXP(SUMIFS(Daily!$O$2:$O$504,Daily!$B$2:$B$504,A10)),EXP(SUMIFS(Daily!$M$2:$M$504,Daily!$B$2:$B$504,A10)))</f>
        <v>1.0278504395334913</v>
      </c>
      <c r="AB10" s="2">
        <f>IF(Y10&lt;0,EXP(SUMIFS(Daily!$P$2:$P$504,Daily!$B$2:$B$504,A10)),EXP(SUMIFS(Daily!$N$2:$N$504,Daily!$B$2:$B$504,A10)))</f>
        <v>0.9820266629847059</v>
      </c>
      <c r="AC10" s="2">
        <f>IF(Z10&lt;0,EXP(SUMIFS(Daily!$Q$2:$Q$504,Daily!$B$2:$B$504,A10)),1+D10)</f>
        <v>1.000920888309824</v>
      </c>
      <c r="AD10" s="2">
        <f>X10*AA10+Y10*AB10+Z10*AC10</f>
        <v>1.0098259999634966</v>
      </c>
      <c r="AE10" s="2">
        <f>X10*AA10/AD10</f>
        <v>0.7104117207085322</v>
      </c>
      <c r="AF10" s="2">
        <f>Y10*AB10/AD10</f>
        <v>0.5090550321814773</v>
      </c>
      <c r="AG10" s="2">
        <f>ABS(X10-AE9)</f>
        <v>0.375992627781657</v>
      </c>
      <c r="AH10" s="2">
        <f>ABS(Y10-AF9)</f>
        <v>0.28387575379863417</v>
      </c>
      <c r="AI10" s="2">
        <f>AG10+AH10</f>
        <v>0.6598683815802912</v>
      </c>
      <c r="AJ10" s="2">
        <f>Inputs!$B$4*AG10+Inputs!$B$5*AH10</f>
        <v>0.0004718720676894627</v>
      </c>
      <c r="AK10" s="2">
        <f>(1-AJ10)*AD10-1</f>
        <v>0.009349491280887356</v>
      </c>
      <c r="AL10" s="2">
        <f>AK10-D10</f>
        <v>0.00884555233115103</v>
      </c>
      <c r="AM10" s="2">
        <f>1*INDEX(Inputs!$E$2:$E$3,B10)</f>
        <v>0.8</v>
      </c>
      <c r="AN10" s="2">
        <f>1*INDEX(Inputs!$F$2:$F$3,B10)</f>
        <v>0.6</v>
      </c>
      <c r="AO10" s="2">
        <f>1-AM10-AN10</f>
        <v>-0.4</v>
      </c>
      <c r="AP10" s="2">
        <f>IF(AM10&lt;0,EXP(SUMIFS(Daily!$O$2:$O$504,Daily!$B$2:$B$504,A10)),EXP(SUMIFS(Daily!$M$2:$M$504,Daily!$B$2:$B$504,A10)))</f>
        <v>1.0278504395334913</v>
      </c>
      <c r="AQ10" s="2">
        <f>IF(AN10&lt;0,EXP(SUMIFS(Daily!$P$2:$P$504,Daily!$B$2:$B$504,A10)),EXP(SUMIFS(Daily!$N$2:$N$504,Daily!$B$2:$B$504,A10)))</f>
        <v>0.9820266629847059</v>
      </c>
      <c r="AR10" s="2">
        <f>IF(AO10&lt;0,EXP(SUMIFS(Daily!$Q$2:$Q$504,Daily!$B$2:$B$504,A10)),1+D10)</f>
        <v>1.000920888309824</v>
      </c>
      <c r="AS10" s="2">
        <f>AM10*AP10+AN10*AQ10+AO10*AR10</f>
        <v>1.011127994093687</v>
      </c>
      <c r="AT10" s="2">
        <f>AM10*AP10/AS10</f>
        <v>0.8132307249230447</v>
      </c>
      <c r="AU10" s="2">
        <f>AN10*AQ10/AS10</f>
        <v>0.5827313665852566</v>
      </c>
      <c r="AV10" s="2">
        <f>ABS(AM10-AT9)</f>
        <v>0.012105560854089203</v>
      </c>
      <c r="AW10" s="2">
        <f>ABS(AN10-AU9)</f>
        <v>0.01050177438397848</v>
      </c>
      <c r="AX10" s="2">
        <f>AV10+AW10</f>
        <v>0.022607335238067683</v>
      </c>
      <c r="AY10" s="2">
        <f>Inputs!$B$4*AV10+Inputs!$B$5*AW10</f>
        <v>1.655455481102308e-05</v>
      </c>
      <c r="AZ10" s="2">
        <f>(1-AY10)*AS10-1</f>
        <v>0.011111255319887992</v>
      </c>
      <c r="BA10" s="2">
        <f>AZ10-D10</f>
        <v>0.010607316370151665</v>
      </c>
    </row>
    <row r="11" spans="1:53">
      <c r="A11" t="s">
        <v>50</v>
      </c>
      <c r="B11" s="2">
        <f>MATCH(C11,Inputs!$D$2:$D$3,0)</f>
        <v>1.0</v>
      </c>
      <c r="C11" s="2">
        <f>VALUE(LEFT(A11,4))</f>
        <v>2016.0</v>
      </c>
      <c r="D11" s="2">
        <f>EXP(SUMIFS(Daily!$L$2:$L$504,Daily!$B$2:$B$504,A11))-1</f>
        <v>0.000538816817307719</v>
      </c>
      <c r="E11" s="2">
        <f>EXP(SUMIFS(Daily!$J$2:$J$504,Daily!$B$2:$B$504,A11))-EXP(SUMIFS(Daily!$L$2:$L$504,Daily!$B$2:$B$504,A11))</f>
        <v>-0.07907046724270439</v>
      </c>
      <c r="F11" s="2">
        <f>SUMIFS(Daily!$H$2:$H$504,Daily!$B$2:$B$504,A11)</f>
        <v>0.0013586175364436576</v>
      </c>
      <c r="G11" s="2">
        <f>1/F11</f>
        <v>736.0423174115789</v>
      </c>
      <c r="H11" s="2">
        <f>E12</f>
        <v>-0.020155606394190895</v>
      </c>
      <c r="I11" s="2">
        <f>H11*G11</f>
        <v>-14.835379239215904</v>
      </c>
      <c r="J11" s="2">
        <f>STDEV(H$2:H10)/STDEV(I$2:I10)</f>
        <v>0.0019348770724887518</v>
      </c>
      <c r="K11" s="2">
        <f>EXP(SUMIFS(Daily!$K$2:$K$504,Daily!$B$2:$B$504,A11))-EXP(SUMIFS(Daily!$L$2:$L$504,Daily!$B$2:$B$504,A11))</f>
        <v>0.0264359742700071</v>
      </c>
      <c r="L11" s="2">
        <f>SUMIFS(Daily!$I$2:$I$504,Daily!$B$2:$B$504,A11)</f>
        <v>0.002134474944995465</v>
      </c>
      <c r="M11" s="2">
        <f>1/L11</f>
        <v>468.49929175538983</v>
      </c>
      <c r="N11" s="2">
        <f>K12</f>
        <v>0.024348240037919577</v>
      </c>
      <c r="O11" s="2">
        <f>N11*M11</f>
        <v>11.407133213255548</v>
      </c>
      <c r="P11" s="2">
        <f>STDEV(N$2:N10)/STDEV(O$2:O10)</f>
        <v>0.0024385568582561763</v>
      </c>
      <c r="Q11" s="2">
        <f>B12</f>
        <v>1.0</v>
      </c>
      <c r="R11" s="2">
        <f>IF(Q11=1,F11,L11)</f>
        <v>0.0013586175364436576</v>
      </c>
      <c r="S11" s="2">
        <f>IF(Q11=1,G11,M11)</f>
        <v>736.0423174115789</v>
      </c>
      <c r="T11" s="2">
        <f>IF(Q11=1,J11,P11)</f>
        <v>0.0019348770724887518</v>
      </c>
      <c r="U11" s="2">
        <f>T11*S11</f>
        <v>1.4241514043411523</v>
      </c>
      <c r="V11" s="2">
        <f>MIN(Inputs!$B$2,MAX(0,U11))</f>
        <v>1.3</v>
      </c>
      <c r="W11" s="2">
        <f>V10</f>
        <v>0.6642830928507284</v>
      </c>
      <c r="X11" s="2">
        <f>W11*INDEX(Inputs!$E$2:$E$3,B11)</f>
        <v>0.5314264742805828</v>
      </c>
      <c r="Y11" s="2">
        <f>W11*INDEX(Inputs!$F$2:$F$3,B11)</f>
        <v>0.398569855710437</v>
      </c>
      <c r="Z11" s="2">
        <f>1-X11-Y11</f>
        <v>0.07000367000898022</v>
      </c>
      <c r="AA11" s="2">
        <f>IF(X11&lt;0,EXP(SUMIFS(Daily!$O$2:$O$504,Daily!$B$2:$B$504,A11)),EXP(SUMIFS(Daily!$M$2:$M$504,Daily!$B$2:$B$504,A11)))</f>
        <v>0.9040956072898098</v>
      </c>
      <c r="AB11" s="2">
        <f>IF(Y11&lt;0,EXP(SUMIFS(Daily!$P$2:$P$504,Daily!$B$2:$B$504,A11)),EXP(SUMIFS(Daily!$N$2:$N$504,Daily!$B$2:$B$504,A11)))</f>
        <v>0.9975582236256869</v>
      </c>
      <c r="AC11" s="2">
        <f>IF(Z11&lt;0,EXP(SUMIFS(Daily!$Q$2:$Q$504,Daily!$B$2:$B$504,A11)),1+D11)</f>
        <v>1.0005388168173077</v>
      </c>
      <c r="AD11" s="2">
        <f>X11*AA11+Y11*AB11+Z11*AC11</f>
        <v>0.9480983674114901</v>
      </c>
      <c r="AE11" s="2">
        <f>X11*AA11/AD11</f>
        <v>0.5067621224856074</v>
      </c>
      <c r="AF11" s="2">
        <f>Y11*AB11/AD11</f>
        <v>0.41936222117835004</v>
      </c>
      <c r="AG11" s="2">
        <f>ABS(X11-AE10)</f>
        <v>0.17898524642794944</v>
      </c>
      <c r="AH11" s="2">
        <f>ABS(Y11-AF10)</f>
        <v>0.11048517647104028</v>
      </c>
      <c r="AI11" s="2">
        <f>AG11+AH11</f>
        <v>0.2894704228989897</v>
      </c>
      <c r="AJ11" s="2">
        <f>Inputs!$B$4*AG11+Inputs!$B$5*AH11</f>
        <v>0.00019997779968501498</v>
      </c>
      <c r="AK11" s="2">
        <f>(1-AJ11)*AD11-1</f>
        <v>-0.052091231213909794</v>
      </c>
      <c r="AL11" s="2">
        <f>AK11-D11</f>
        <v>-0.05263004803121751</v>
      </c>
      <c r="AM11" s="2">
        <f>1*INDEX(Inputs!$E$2:$E$3,B11)</f>
        <v>0.8</v>
      </c>
      <c r="AN11" s="2">
        <f>1*INDEX(Inputs!$F$2:$F$3,B11)</f>
        <v>0.6</v>
      </c>
      <c r="AO11" s="2">
        <f>1-AM11-AN11</f>
        <v>-0.4</v>
      </c>
      <c r="AP11" s="2">
        <f>IF(AM11&lt;0,EXP(SUMIFS(Daily!$O$2:$O$504,Daily!$B$2:$B$504,A11)),EXP(SUMIFS(Daily!$M$2:$M$504,Daily!$B$2:$B$504,A11)))</f>
        <v>0.9040956072898098</v>
      </c>
      <c r="AQ11" s="2">
        <f>IF(AN11&lt;0,EXP(SUMIFS(Daily!$P$2:$P$504,Daily!$B$2:$B$504,A11)),EXP(SUMIFS(Daily!$N$2:$N$504,Daily!$B$2:$B$504,A11)))</f>
        <v>0.9975582236256869</v>
      </c>
      <c r="AR11" s="2">
        <f>IF(AO11&lt;0,EXP(SUMIFS(Daily!$Q$2:$Q$504,Daily!$B$2:$B$504,A11)),1+D11)</f>
        <v>1.0009557800200843</v>
      </c>
      <c r="AS11" s="2">
        <f>AM11*AP11+AN11*AQ11+AO11*AR11</f>
        <v>0.9214291079992262</v>
      </c>
      <c r="AT11" s="2">
        <f>AM11*AP11/AS11</f>
        <v>0.7849507678375354</v>
      </c>
      <c r="AU11" s="2">
        <f>AN11*AQ11/AS11</f>
        <v>0.6495724185174263</v>
      </c>
      <c r="AV11" s="2">
        <f>ABS(AM11-AT10)</f>
        <v>0.013230724923044668</v>
      </c>
      <c r="AW11" s="2">
        <f>ABS(AN11-AU10)</f>
        <v>0.017268633414743384</v>
      </c>
      <c r="AX11" s="2">
        <f>AV11+AW11</f>
        <v>0.03049935833778805</v>
      </c>
      <c r="AY11" s="2">
        <f>Inputs!$B$4*AV11+Inputs!$B$5*AW11</f>
        <v>2.3883995876265718e-05</v>
      </c>
      <c r="AZ11" s="2">
        <f>(1-AY11)*AS11-1</f>
        <v>-0.07859289940978953</v>
      </c>
      <c r="BA11" s="2">
        <f>AZ11-D11</f>
        <v>-0.07913171622709725</v>
      </c>
    </row>
    <row r="12" spans="1:53">
      <c r="A12" t="s">
        <v>51</v>
      </c>
      <c r="B12" s="2">
        <f>MATCH(C12,Inputs!$D$2:$D$3,0)</f>
        <v>1.0</v>
      </c>
      <c r="C12" s="2">
        <f>VALUE(LEFT(A12,4))</f>
        <v>2016.0</v>
      </c>
      <c r="D12" s="2">
        <f>EXP(SUMIFS(Daily!$L$2:$L$504,Daily!$B$2:$B$504,A12))-1</f>
        <v>0.000573695842836619</v>
      </c>
      <c r="E12" s="2">
        <f>EXP(SUMIFS(Daily!$J$2:$J$504,Daily!$B$2:$B$504,A12))-EXP(SUMIFS(Daily!$L$2:$L$504,Daily!$B$2:$B$504,A12))</f>
        <v>-0.020155606394190895</v>
      </c>
      <c r="F12" s="2">
        <f>SUMIFS(Daily!$H$2:$H$504,Daily!$B$2:$B$504,A12)</f>
        <v>0.0007733532257790787</v>
      </c>
      <c r="G12" s="2">
        <f>1/F12</f>
        <v>1293.0701866441386</v>
      </c>
      <c r="H12" s="2">
        <f>E13</f>
        <v>0.06830836128038587</v>
      </c>
      <c r="I12" s="2">
        <f>H12*G12</f>
        <v>88.32750547018381</v>
      </c>
      <c r="J12" s="2">
        <f>STDEV(H$2:H11)/STDEV(I$2:I11)</f>
        <v>0.001925535569042815</v>
      </c>
      <c r="K12" s="2">
        <f>EXP(SUMIFS(Daily!$K$2:$K$504,Daily!$B$2:$B$504,A12))-EXP(SUMIFS(Daily!$L$2:$L$504,Daily!$B$2:$B$504,A12))</f>
        <v>0.024348240037919577</v>
      </c>
      <c r="L12" s="2">
        <f>SUMIFS(Daily!$I$2:$I$504,Daily!$B$2:$B$504,A12)</f>
        <v>0.0020125971531502096</v>
      </c>
      <c r="M12" s="2">
        <f>1/L12</f>
        <v>496.8704235891192</v>
      </c>
      <c r="N12" s="2">
        <f>K13</f>
        <v>0.052697718001473826</v>
      </c>
      <c r="O12" s="2">
        <f>N12*M12</f>
        <v>26.18393746557225</v>
      </c>
      <c r="P12" s="2">
        <f>STDEV(N$2:N11)/STDEV(O$2:O11)</f>
        <v>0.0024176134197901647</v>
      </c>
      <c r="Q12" s="2">
        <f>B13</f>
        <v>1.0</v>
      </c>
      <c r="R12" s="2">
        <f>IF(Q12=1,F12,L12)</f>
        <v>0.0007733532257790787</v>
      </c>
      <c r="S12" s="2">
        <f>IF(Q12=1,G12,M12)</f>
        <v>1293.0701866441386</v>
      </c>
      <c r="T12" s="2">
        <f>IF(Q12=1,J12,P12)</f>
        <v>0.001925535569042815</v>
      </c>
      <c r="U12" s="2">
        <f>T12*S12</f>
        <v>2.4898526376521204</v>
      </c>
      <c r="V12" s="2">
        <f>MIN(Inputs!$B$2,MAX(0,U12))</f>
        <v>1.3</v>
      </c>
      <c r="W12" s="2">
        <f>V11</f>
        <v>1.3</v>
      </c>
      <c r="X12" s="2">
        <f>W12*INDEX(Inputs!$E$2:$E$3,B12)</f>
        <v>1.04</v>
      </c>
      <c r="Y12" s="2">
        <f>W12*INDEX(Inputs!$F$2:$F$3,B12)</f>
        <v>0.78</v>
      </c>
      <c r="Z12" s="2">
        <f>1-X12-Y12</f>
        <v>-0.8200000000000001</v>
      </c>
      <c r="AA12" s="2">
        <f>IF(X12&lt;0,EXP(SUMIFS(Daily!$O$2:$O$504,Daily!$B$2:$B$504,A12)),EXP(SUMIFS(Daily!$M$2:$M$504,Daily!$B$2:$B$504,A12)))</f>
        <v>0.9663607513505896</v>
      </c>
      <c r="AB12" s="2">
        <f>IF(Y12&lt;0,EXP(SUMIFS(Daily!$P$2:$P$504,Daily!$B$2:$B$504,A12)),EXP(SUMIFS(Daily!$N$2:$N$504,Daily!$B$2:$B$504,A12)))</f>
        <v>1.012413831620341</v>
      </c>
      <c r="AC12" s="2">
        <f>IF(Z12&lt;0,EXP(SUMIFS(Daily!$Q$2:$Q$504,Daily!$B$2:$B$504,A12)),1+D12)</f>
        <v>1.000990672888739</v>
      </c>
      <c r="AD12" s="2">
        <f>X12*AA12+Y12*AB12+Z12*AC12</f>
        <v>0.9738856182997133</v>
      </c>
      <c r="AE12" s="2">
        <f>X12*AA12/AD12</f>
        <v>1.0319642907955129</v>
      </c>
      <c r="AF12" s="2">
        <f>Y12*AB12/AD12</f>
        <v>0.8108578397969947</v>
      </c>
      <c r="AG12" s="2">
        <f>ABS(X12-AE11)</f>
        <v>0.5332378775143927</v>
      </c>
      <c r="AH12" s="2">
        <f>ABS(Y12-AF11)</f>
        <v>0.36063777882165</v>
      </c>
      <c r="AI12" s="2">
        <f>AG12+AH12</f>
        <v>0.8938756563360426</v>
      </c>
      <c r="AJ12" s="2">
        <f>Inputs!$B$4*AG12+Inputs!$B$5*AH12</f>
        <v>0.0006272567175788463</v>
      </c>
      <c r="AK12" s="2">
        <f>(1-AJ12)*AD12-1</f>
        <v>-0.026725257996518592</v>
      </c>
      <c r="AL12" s="2">
        <f>AK12-D12</f>
        <v>-0.02729895383935521</v>
      </c>
      <c r="AM12" s="2">
        <f>1*INDEX(Inputs!$E$2:$E$3,B12)</f>
        <v>0.8</v>
      </c>
      <c r="AN12" s="2">
        <f>1*INDEX(Inputs!$F$2:$F$3,B12)</f>
        <v>0.6</v>
      </c>
      <c r="AO12" s="2">
        <f>1-AM12-AN12</f>
        <v>-0.4</v>
      </c>
      <c r="AP12" s="2">
        <f>IF(AM12&lt;0,EXP(SUMIFS(Daily!$O$2:$O$504,Daily!$B$2:$B$504,A12)),EXP(SUMIFS(Daily!$M$2:$M$504,Daily!$B$2:$B$504,A12)))</f>
        <v>0.9663607513505896</v>
      </c>
      <c r="AQ12" s="2">
        <f>IF(AN12&lt;0,EXP(SUMIFS(Daily!$P$2:$P$504,Daily!$B$2:$B$504,A12)),EXP(SUMIFS(Daily!$N$2:$N$504,Daily!$B$2:$B$504,A12)))</f>
        <v>1.012413831620341</v>
      </c>
      <c r="AR12" s="2">
        <f>IF(AO12&lt;0,EXP(SUMIFS(Daily!$Q$2:$Q$504,Daily!$B$2:$B$504,A12)),1+D12)</f>
        <v>1.000990672888739</v>
      </c>
      <c r="AS12" s="2">
        <f>AM12*AP12+AN12*AQ12+AO12*AR12</f>
        <v>0.9801406308971807</v>
      </c>
      <c r="AT12" s="2">
        <f>AM12*AP12/AS12</f>
        <v>0.7887527327306266</v>
      </c>
      <c r="AU12" s="2">
        <f>AN12*AQ12/AS12</f>
        <v>0.6197562674411031</v>
      </c>
      <c r="AV12" s="2">
        <f>ABS(AM12-AT11)</f>
        <v>0.015049232162464676</v>
      </c>
      <c r="AW12" s="2">
        <f>ABS(AN12-AU11)</f>
        <v>0.04957241851742633</v>
      </c>
      <c r="AX12" s="2">
        <f>AV12+AW12</f>
        <v>0.06462165067989101</v>
      </c>
      <c r="AY12" s="2">
        <f>Inputs!$B$4*AV12+Inputs!$B$5*AW12</f>
        <v>5.7097034598658674e-05</v>
      </c>
      <c r="AZ12" s="2">
        <f>(1-AY12)*AS12-1</f>
        <v>-0.019915332226333127</v>
      </c>
      <c r="BA12" s="2">
        <f>AZ12-D12</f>
        <v>-0.020489028069169746</v>
      </c>
    </row>
    <row r="13" spans="1:53">
      <c r="A13" t="s">
        <v>52</v>
      </c>
      <c r="B13" s="2">
        <f>MATCH(C13,Inputs!$D$2:$D$3,0)</f>
        <v>1.0</v>
      </c>
      <c r="C13" s="2">
        <f>VALUE(LEFT(A13,4))</f>
        <v>2016.0</v>
      </c>
      <c r="D13" s="2">
        <f>EXP(SUMIFS(Daily!$L$2:$L$504,Daily!$B$2:$B$504,A13))-1</f>
        <v>0.0006085760263510043</v>
      </c>
      <c r="E13" s="2">
        <f>EXP(SUMIFS(Daily!$J$2:$J$504,Daily!$B$2:$B$504,A13))-EXP(SUMIFS(Daily!$L$2:$L$504,Daily!$B$2:$B$504,A13))</f>
        <v>0.06830836128038587</v>
      </c>
      <c r="F13" s="2">
        <f>SUMIFS(Daily!$H$2:$H$504,Daily!$B$2:$B$504,A13)</f>
        <v>0.0013953214661471679</v>
      </c>
      <c r="G13" s="2">
        <f>1/F13</f>
        <v>716.6807250240696</v>
      </c>
      <c r="H13" s="2">
        <f>E14</f>
        <v>0.02622191230451154</v>
      </c>
      <c r="I13" s="2">
        <f>H13*G13</f>
        <v>18.792739121914902</v>
      </c>
      <c r="J13" s="2">
        <f>STDEV(H$2:H12)/STDEV(I$2:I12)</f>
        <v>0.0014468990712401414</v>
      </c>
      <c r="K13" s="2">
        <f>EXP(SUMIFS(Daily!$K$2:$K$504,Daily!$B$2:$B$504,A13))-EXP(SUMIFS(Daily!$L$2:$L$504,Daily!$B$2:$B$504,A13))</f>
        <v>0.052697718001473826</v>
      </c>
      <c r="L13" s="2">
        <f>SUMIFS(Daily!$I$2:$I$504,Daily!$B$2:$B$504,A13)</f>
        <v>0.0018336508514910112</v>
      </c>
      <c r="M13" s="2">
        <f>1/L13</f>
        <v>545.360093600623</v>
      </c>
      <c r="N13" s="2">
        <f>K14</f>
        <v>0.006575221005036713</v>
      </c>
      <c r="O13" s="2">
        <f>N13*M13</f>
        <v>3.5858631427516046</v>
      </c>
      <c r="P13" s="2">
        <f>STDEV(N$2:N12)/STDEV(O$2:O12)</f>
        <v>0.002305914443115245</v>
      </c>
      <c r="Q13" s="2">
        <f>B14</f>
        <v>2.0</v>
      </c>
      <c r="R13" s="2">
        <f>IF(Q13=1,F13,L13)</f>
        <v>0.0018336508514910112</v>
      </c>
      <c r="S13" s="2">
        <f>IF(Q13=1,G13,M13)</f>
        <v>545.360093600623</v>
      </c>
      <c r="T13" s="2">
        <f>IF(Q13=1,J13,P13)</f>
        <v>0.002305914443115245</v>
      </c>
      <c r="U13" s="2">
        <f>T13*S13</f>
        <v>1.2575537165323585</v>
      </c>
      <c r="V13" s="2">
        <f>MIN(Inputs!$B$2,MAX(0,U13))</f>
        <v>1.2575537165323585</v>
      </c>
      <c r="W13" s="2">
        <f>V12</f>
        <v>1.3</v>
      </c>
      <c r="X13" s="2">
        <f>W13*INDEX(Inputs!$E$2:$E$3,B13)</f>
        <v>1.04</v>
      </c>
      <c r="Y13" s="2">
        <f>W13*INDEX(Inputs!$F$2:$F$3,B13)</f>
        <v>0.78</v>
      </c>
      <c r="Z13" s="2">
        <f>1-X13-Y13</f>
        <v>-0.8200000000000001</v>
      </c>
      <c r="AA13" s="2">
        <f>IF(X13&lt;0,EXP(SUMIFS(Daily!$O$2:$O$504,Daily!$B$2:$B$504,A13)),EXP(SUMIFS(Daily!$M$2:$M$504,Daily!$B$2:$B$504,A13)))</f>
        <v>1.043343253244017</v>
      </c>
      <c r="AB13" s="2">
        <f>IF(Y13&lt;0,EXP(SUMIFS(Daily!$P$2:$P$504,Daily!$B$2:$B$504,A13)),EXP(SUMIFS(Daily!$N$2:$N$504,Daily!$B$2:$B$504,A13)))</f>
        <v>1.0557993583779008</v>
      </c>
      <c r="AC13" s="2">
        <f>IF(Z13&lt;0,EXP(SUMIFS(Daily!$Q$2:$Q$504,Daily!$B$2:$B$504,A13)),1+D13)</f>
        <v>1.0010255669158157</v>
      </c>
      <c r="AD13" s="2">
        <f>X13*AA13+Y13*AB13+Z13*AC13</f>
        <v>1.0877595180375714</v>
      </c>
      <c r="AE13" s="2">
        <f>X13*AA13/AD13</f>
        <v>0.9975338899643615</v>
      </c>
      <c r="AF13" s="2">
        <f>Y13*AB13/AD13</f>
        <v>0.7570823200154412</v>
      </c>
      <c r="AG13" s="2">
        <f>ABS(X13-AE12)</f>
        <v>0.008035709204487151</v>
      </c>
      <c r="AH13" s="2">
        <f>ABS(Y13-AF12)</f>
        <v>0.030857839796994635</v>
      </c>
      <c r="AI13" s="2">
        <f>AG13+AH13</f>
        <v>0.038893549001481786</v>
      </c>
      <c r="AJ13" s="2">
        <f>Inputs!$B$4*AG13+Inputs!$B$5*AH13</f>
        <v>3.487569439923821e-05</v>
      </c>
      <c r="AK13" s="2">
        <f>(1-AJ13)*AD13-1</f>
        <v>0.08772158166904043</v>
      </c>
      <c r="AL13" s="2">
        <f>AK13-D13</f>
        <v>0.08711300564268942</v>
      </c>
      <c r="AM13" s="2">
        <f>1*INDEX(Inputs!$E$2:$E$3,B13)</f>
        <v>0.8</v>
      </c>
      <c r="AN13" s="2">
        <f>1*INDEX(Inputs!$F$2:$F$3,B13)</f>
        <v>0.6</v>
      </c>
      <c r="AO13" s="2">
        <f>1-AM13-AN13</f>
        <v>-0.4</v>
      </c>
      <c r="AP13" s="2">
        <f>IF(AM13&lt;0,EXP(SUMIFS(Daily!$O$2:$O$504,Daily!$B$2:$B$504,A13)),EXP(SUMIFS(Daily!$M$2:$M$504,Daily!$B$2:$B$504,A13)))</f>
        <v>1.043343253244017</v>
      </c>
      <c r="AQ13" s="2">
        <f>IF(AN13&lt;0,EXP(SUMIFS(Daily!$P$2:$P$504,Daily!$B$2:$B$504,A13)),EXP(SUMIFS(Daily!$N$2:$N$504,Daily!$B$2:$B$504,A13)))</f>
        <v>1.0557993583779008</v>
      </c>
      <c r="AR13" s="2">
        <f>IF(AO13&lt;0,EXP(SUMIFS(Daily!$Q$2:$Q$504,Daily!$B$2:$B$504,A13)),1+D13)</f>
        <v>1.0010255669158157</v>
      </c>
      <c r="AS13" s="2">
        <f>AM13*AP13+AN13*AQ13+AO13*AR13</f>
        <v>1.0677439908556277</v>
      </c>
      <c r="AT13" s="2">
        <f>AM13*AP13/AS13</f>
        <v>0.7817179115439031</v>
      </c>
      <c r="AU13" s="2">
        <f>AN13*AQ13/AS13</f>
        <v>0.5932879233711321</v>
      </c>
      <c r="AV13" s="2">
        <f>ABS(AM13-AT12)</f>
        <v>0.011247267269373418</v>
      </c>
      <c r="AW13" s="2">
        <f>ABS(AN13-AU12)</f>
        <v>0.019756267441103148</v>
      </c>
      <c r="AX13" s="2">
        <f>AV13+AW13</f>
        <v>0.031003534710476566</v>
      </c>
      <c r="AY13" s="2">
        <f>Inputs!$B$4*AV13+Inputs!$B$5*AW13</f>
        <v>2.537990107578986e-05</v>
      </c>
      <c r="AZ13" s="2">
        <f>(1-AY13)*AS13-1</f>
        <v>0.0677168916187656</v>
      </c>
      <c r="BA13" s="2">
        <f>AZ13-D13</f>
        <v>0.06710831559241459</v>
      </c>
    </row>
    <row r="14" spans="1:53">
      <c r="A14" t="s">
        <v>53</v>
      </c>
      <c r="B14" s="2">
        <f>MATCH(C14,Inputs!$D$2:$D$3,0)</f>
        <v>2.0</v>
      </c>
      <c r="C14" s="2">
        <f>VALUE(LEFT(A14,4))</f>
        <v>2017.0</v>
      </c>
      <c r="D14" s="2">
        <f>EXP(SUMIFS(Daily!$L$2:$L$504,Daily!$B$2:$B$504,A14))-1</f>
        <v>0.0006120162058418366</v>
      </c>
      <c r="E14" s="2">
        <f>EXP(SUMIFS(Daily!$J$2:$J$504,Daily!$B$2:$B$504,A14))-EXP(SUMIFS(Daily!$L$2:$L$504,Daily!$B$2:$B$504,A14))</f>
        <v>0.02622191230451154</v>
      </c>
      <c r="F14" s="2">
        <f>SUMIFS(Daily!$H$2:$H$504,Daily!$B$2:$B$504,A14)</f>
        <v>0.0010649902834912045</v>
      </c>
      <c r="G14" s="2">
        <f>1/F14</f>
        <v>938.9757028785688</v>
      </c>
      <c r="H14" s="2">
        <f>E15</f>
        <v>0.017160505141394333</v>
      </c>
      <c r="I14" s="2">
        <f>H14*G14</f>
        <v>16.11329737689204</v>
      </c>
      <c r="J14" s="2">
        <f>STDEV(H$2:H13)/STDEV(I$2:I13)</f>
        <v>0.001446399173205168</v>
      </c>
      <c r="K14" s="2">
        <f>EXP(SUMIFS(Daily!$K$2:$K$504,Daily!$B$2:$B$504,A14))-EXP(SUMIFS(Daily!$L$2:$L$504,Daily!$B$2:$B$504,A14))</f>
        <v>0.006575221005036713</v>
      </c>
      <c r="L14" s="2">
        <f>SUMIFS(Daily!$I$2:$I$504,Daily!$B$2:$B$504,A14)</f>
        <v>0.0011760355819305731</v>
      </c>
      <c r="M14" s="2">
        <f>1/L14</f>
        <v>850.3144083093182</v>
      </c>
      <c r="N14" s="2">
        <f>K15</f>
        <v>0.053260232563233645</v>
      </c>
      <c r="O14" s="2">
        <f>N14*M14</f>
        <v>45.2879431384227</v>
      </c>
      <c r="P14" s="2">
        <f>STDEV(N$2:N13)/STDEV(O$2:O13)</f>
        <v>0.0023063053950827354</v>
      </c>
      <c r="Q14" s="2">
        <f>B15</f>
        <v>2.0</v>
      </c>
      <c r="R14" s="2">
        <f>IF(Q14=1,F14,L14)</f>
        <v>0.0011760355819305731</v>
      </c>
      <c r="S14" s="2">
        <f>IF(Q14=1,G14,M14)</f>
        <v>850.3144083093182</v>
      </c>
      <c r="T14" s="2">
        <f>IF(Q14=1,J14,P14)</f>
        <v>0.0023063053950827354</v>
      </c>
      <c r="U14" s="2">
        <f>T14*S14</f>
        <v>1.9610847074003646</v>
      </c>
      <c r="V14" s="2">
        <f>MIN(Inputs!$B$2,MAX(0,U14))</f>
        <v>1.3</v>
      </c>
      <c r="W14" s="2">
        <f>V13</f>
        <v>1.2575537165323585</v>
      </c>
      <c r="X14" s="2">
        <f>W14*INDEX(Inputs!$E$2:$E$3,B14)</f>
        <v>-0.3772661149597075</v>
      </c>
      <c r="Y14" s="2">
        <f>W14*INDEX(Inputs!$F$2:$F$3,B14)</f>
        <v>1.50906445983883</v>
      </c>
      <c r="Z14" s="2">
        <f>1-X14-Y14</f>
        <v>-0.13179834487912245</v>
      </c>
      <c r="AA14" s="2">
        <f>IF(X14&lt;0,EXP(SUMIFS(Daily!$O$2:$O$504,Daily!$B$2:$B$504,A14)),EXP(SUMIFS(Daily!$M$2:$M$504,Daily!$B$2:$B$504,A14)))</f>
        <v>1.0244042981301325</v>
      </c>
      <c r="AB14" s="2">
        <f>IF(Y14&lt;0,EXP(SUMIFS(Daily!$P$2:$P$504,Daily!$B$2:$B$504,A14)),EXP(SUMIFS(Daily!$N$2:$N$504,Daily!$B$2:$B$504,A14)))</f>
        <v>1.0123110663174255</v>
      </c>
      <c r="AC14" s="2">
        <f>IF(Z14&lt;0,EXP(SUMIFS(Daily!$Q$2:$Q$504,Daily!$B$2:$B$504,A14)),1+D14)</f>
        <v>1.0010091471680809</v>
      </c>
      <c r="AD14" s="2">
        <f>X14*AA14+Y14*AB14+Z14*AC14</f>
        <v>1.00923827397198</v>
      </c>
      <c r="AE14" s="2">
        <f>X14*AA14/AD14</f>
        <v>-0.38293536786171356</v>
      </c>
      <c r="AF14" s="2">
        <f>Y14*AB14/AD14</f>
        <v>1.5136590554269729</v>
      </c>
      <c r="AG14" s="2">
        <f>ABS(X14-AE13)</f>
        <v>1.3748000049240692</v>
      </c>
      <c r="AH14" s="2">
        <f>ABS(Y14-AF13)</f>
        <v>0.7519821398233889</v>
      </c>
      <c r="AI14" s="2">
        <f>AG14+AH14</f>
        <v>2.126782144747458</v>
      </c>
      <c r="AJ14" s="2">
        <f>Inputs!$B$4*AG14+Inputs!$B$5*AH14</f>
        <v>0.0014393821422854236</v>
      </c>
      <c r="AK14" s="2">
        <f>(1-AJ14)*AD14-1</f>
        <v>0.007785594423113773</v>
      </c>
      <c r="AL14" s="2">
        <f>AK14-D14</f>
        <v>0.0071735782172719365</v>
      </c>
      <c r="AM14" s="2">
        <f>1*INDEX(Inputs!$E$2:$E$3,B14)</f>
        <v>-0.3</v>
      </c>
      <c r="AN14" s="2">
        <f>1*INDEX(Inputs!$F$2:$F$3,B14)</f>
        <v>1.2</v>
      </c>
      <c r="AO14" s="2">
        <f>1-AM14-AN14</f>
        <v>0.10000000000000009</v>
      </c>
      <c r="AP14" s="2">
        <f>IF(AM14&lt;0,EXP(SUMIFS(Daily!$O$2:$O$504,Daily!$B$2:$B$504,A14)),EXP(SUMIFS(Daily!$M$2:$M$504,Daily!$B$2:$B$504,A14)))</f>
        <v>1.0244042981301325</v>
      </c>
      <c r="AQ14" s="2">
        <f>IF(AN14&lt;0,EXP(SUMIFS(Daily!$P$2:$P$504,Daily!$B$2:$B$504,A14)),EXP(SUMIFS(Daily!$N$2:$N$504,Daily!$B$2:$B$504,A14)))</f>
        <v>1.0123110663174255</v>
      </c>
      <c r="AR14" s="2">
        <f>IF(AO14&lt;0,EXP(SUMIFS(Daily!$Q$2:$Q$504,Daily!$B$2:$B$504,A14)),1+D14)</f>
        <v>1.0006120162058418</v>
      </c>
      <c r="AS14" s="2">
        <f>AM14*AP14+AN14*AQ14+AO14*AR14</f>
        <v>1.007513191762455</v>
      </c>
      <c r="AT14" s="2">
        <f>AM14*AP14/AS14</f>
        <v>-0.30502954398188964</v>
      </c>
      <c r="AU14" s="2">
        <f>AN14*AQ14/AS14</f>
        <v>1.2057145152173074</v>
      </c>
      <c r="AV14" s="2">
        <f>ABS(AM14-AT13)</f>
        <v>1.081717911543903</v>
      </c>
      <c r="AW14" s="2">
        <f>ABS(AN14-AU13)</f>
        <v>0.6067120766288678</v>
      </c>
      <c r="AX14" s="2">
        <f>AV14+AW14</f>
        <v>1.688429988172771</v>
      </c>
      <c r="AY14" s="2">
        <f>Inputs!$B$4*AV14+Inputs!$B$5*AW14</f>
        <v>0.0011475710324008194</v>
      </c>
      <c r="AZ14" s="2">
        <f>(1-AY14)*AS14-1</f>
        <v>0.006356998808826564</v>
      </c>
      <c r="BA14" s="2">
        <f>AZ14-D14</f>
        <v>0.005744982602984727</v>
      </c>
    </row>
    <row r="15" spans="1:53">
      <c r="A15" t="s">
        <v>54</v>
      </c>
      <c r="B15" s="2">
        <f>MATCH(C15,Inputs!$D$2:$D$3,0)</f>
        <v>2.0</v>
      </c>
      <c r="C15" s="2">
        <f>VALUE(LEFT(A15,4))</f>
        <v>2017.0</v>
      </c>
      <c r="D15" s="2">
        <f>EXP(SUMIFS(Daily!$L$2:$L$504,Daily!$B$2:$B$504,A15))-1</f>
        <v>0.0006107106512880378</v>
      </c>
      <c r="E15" s="2">
        <f>EXP(SUMIFS(Daily!$J$2:$J$504,Daily!$B$2:$B$504,A15))-EXP(SUMIFS(Daily!$L$2:$L$504,Daily!$B$2:$B$504,A15))</f>
        <v>0.017160505141394333</v>
      </c>
      <c r="F15" s="2">
        <f>SUMIFS(Daily!$H$2:$H$504,Daily!$B$2:$B$504,A15)</f>
        <v>0.000642450721259923</v>
      </c>
      <c r="G15" s="2">
        <f>1/F15</f>
        <v>1556.5396176050358</v>
      </c>
      <c r="H15" s="2">
        <f>E16</f>
        <v>-0.011627308315758533</v>
      </c>
      <c r="I15" s="2">
        <f>H15*G15</f>
        <v>-18.09836603958664</v>
      </c>
      <c r="J15" s="2">
        <f>STDEV(H$2:H14)/STDEV(I$2:I14)</f>
        <v>0.0014449542468299402</v>
      </c>
      <c r="K15" s="2">
        <f>EXP(SUMIFS(Daily!$K$2:$K$504,Daily!$B$2:$B$504,A15))-EXP(SUMIFS(Daily!$L$2:$L$504,Daily!$B$2:$B$504,A15))</f>
        <v>0.053260232563233645</v>
      </c>
      <c r="L15" s="2">
        <f>SUMIFS(Daily!$I$2:$I$504,Daily!$B$2:$B$504,A15)</f>
        <v>0.0011060291342396512</v>
      </c>
      <c r="M15" s="2">
        <f>1/L15</f>
        <v>904.1353152848529</v>
      </c>
      <c r="N15" s="2">
        <f>K16</f>
        <v>0.004679200052848387</v>
      </c>
      <c r="O15" s="2">
        <f>N15*M15</f>
        <v>4.230630015062976</v>
      </c>
      <c r="P15" s="2">
        <f>STDEV(N$2:N14)/STDEV(O$2:O14)</f>
        <v>0.0018489474156573099</v>
      </c>
      <c r="Q15" s="2">
        <f>B16</f>
        <v>2.0</v>
      </c>
      <c r="R15" s="2">
        <f>IF(Q15=1,F15,L15)</f>
        <v>0.0011060291342396512</v>
      </c>
      <c r="S15" s="2">
        <f>IF(Q15=1,G15,M15)</f>
        <v>904.1353152848529</v>
      </c>
      <c r="T15" s="2">
        <f>IF(Q15=1,J15,P15)</f>
        <v>0.0018489474156573099</v>
      </c>
      <c r="U15" s="2">
        <f>T15*S15</f>
        <v>1.671698654600436</v>
      </c>
      <c r="V15" s="2">
        <f>MIN(Inputs!$B$2,MAX(0,U15))</f>
        <v>1.3</v>
      </c>
      <c r="W15" s="2">
        <f>V14</f>
        <v>1.3</v>
      </c>
      <c r="X15" s="2">
        <f>W15*INDEX(Inputs!$E$2:$E$3,B15)</f>
        <v>-0.39</v>
      </c>
      <c r="Y15" s="2">
        <f>W15*INDEX(Inputs!$F$2:$F$3,B15)</f>
        <v>1.56</v>
      </c>
      <c r="Z15" s="2">
        <f>1-X15-Y15</f>
        <v>-0.16999999999999993</v>
      </c>
      <c r="AA15" s="2">
        <f>IF(X15&lt;0,EXP(SUMIFS(Daily!$O$2:$O$504,Daily!$B$2:$B$504,A15)),EXP(SUMIFS(Daily!$M$2:$M$504,Daily!$B$2:$B$504,A15)))</f>
        <v>0.991051374029592</v>
      </c>
      <c r="AB15" s="2">
        <f>IF(Y15&lt;0,EXP(SUMIFS(Daily!$P$2:$P$504,Daily!$B$2:$B$504,A15)),EXP(SUMIFS(Daily!$N$2:$N$504,Daily!$B$2:$B$504,A15)))</f>
        <v>1.042512354230753</v>
      </c>
      <c r="AC15" s="2">
        <f>IF(Z15&lt;0,EXP(SUMIFS(Daily!$Q$2:$Q$504,Daily!$B$2:$B$504,A15)),1+D15)</f>
        <v>1.0009879802486668</v>
      </c>
      <c r="AD15" s="2">
        <f>X15*AA15+Y15*AB15+Z15*AC15</f>
        <v>1.0696412800861606</v>
      </c>
      <c r="AE15" s="2">
        <f>X15*AA15/AD15</f>
        <v>-0.3613454744757113</v>
      </c>
      <c r="AF15" s="2">
        <f>Y15*AB15/AD15</f>
        <v>1.5204342828550648</v>
      </c>
      <c r="AG15" s="2">
        <f>ABS(X15-AE14)</f>
        <v>0.007064632138286453</v>
      </c>
      <c r="AH15" s="2">
        <f>ABS(Y15-AF14)</f>
        <v>0.046340944573027176</v>
      </c>
      <c r="AI15" s="2">
        <f>AG15+AH15</f>
        <v>0.05340557671131363</v>
      </c>
      <c r="AJ15" s="2">
        <f>Inputs!$B$4*AG15+Inputs!$B$5*AH15</f>
        <v>4.9873260642170405e-05</v>
      </c>
      <c r="AK15" s="2">
        <f>(1-AJ15)*AD15-1</f>
        <v>0.06958793358780513</v>
      </c>
      <c r="AL15" s="2">
        <f>AK15-D15</f>
        <v>0.06897722293651709</v>
      </c>
      <c r="AM15" s="2">
        <f>1*INDEX(Inputs!$E$2:$E$3,B15)</f>
        <v>-0.3</v>
      </c>
      <c r="AN15" s="2">
        <f>1*INDEX(Inputs!$F$2:$F$3,B15)</f>
        <v>1.2</v>
      </c>
      <c r="AO15" s="2">
        <f>1-AM15-AN15</f>
        <v>0.10000000000000009</v>
      </c>
      <c r="AP15" s="2">
        <f>IF(AM15&lt;0,EXP(SUMIFS(Daily!$O$2:$O$504,Daily!$B$2:$B$504,A15)),EXP(SUMIFS(Daily!$M$2:$M$504,Daily!$B$2:$B$504,A15)))</f>
        <v>0.991051374029592</v>
      </c>
      <c r="AQ15" s="2">
        <f>IF(AN15&lt;0,EXP(SUMIFS(Daily!$P$2:$P$504,Daily!$B$2:$B$504,A15)),EXP(SUMIFS(Daily!$N$2:$N$504,Daily!$B$2:$B$504,A15)))</f>
        <v>1.042512354230753</v>
      </c>
      <c r="AR15" s="2">
        <f>IF(AO15&lt;0,EXP(SUMIFS(Daily!$Q$2:$Q$504,Daily!$B$2:$B$504,A15)),1+D15)</f>
        <v>1.000610710651288</v>
      </c>
      <c r="AS15" s="2">
        <f>AM15*AP15+AN15*AQ15+AO15*AR15</f>
        <v>1.053760483933155</v>
      </c>
      <c r="AT15" s="2">
        <f>AM15*AP15/AS15</f>
        <v>-0.28214705024727205</v>
      </c>
      <c r="AU15" s="2">
        <f>AN15*AQ15/AS15</f>
        <v>1.1871908694160727</v>
      </c>
      <c r="AV15" s="2">
        <f>ABS(AM15-AT14)</f>
        <v>0.00502954398188965</v>
      </c>
      <c r="AW15" s="2">
        <f>ABS(AN15-AU14)</f>
        <v>0.005714515217307481</v>
      </c>
      <c r="AX15" s="2">
        <f>AV15+AW15</f>
        <v>0.010744059199197131</v>
      </c>
      <c r="AY15" s="2">
        <f>Inputs!$B$4*AV15+Inputs!$B$5*AW15</f>
        <v>8.229287208252307e-06</v>
      </c>
      <c r="AZ15" s="2">
        <f>(1-AY15)*AS15-1</f>
        <v>0.053751812235483865</v>
      </c>
      <c r="BA15" s="2">
        <f>AZ15-D15</f>
        <v>0.05314110158419583</v>
      </c>
    </row>
    <row r="16" spans="1:53">
      <c r="A16" t="s">
        <v>55</v>
      </c>
      <c r="B16" s="2">
        <f>MATCH(C16,Inputs!$D$2:$D$3,0)</f>
        <v>2.0</v>
      </c>
      <c r="C16" s="2">
        <f>VALUE(LEFT(A16,4))</f>
        <v>2017.0</v>
      </c>
      <c r="D16" s="2">
        <f>EXP(SUMIFS(Daily!$L$2:$L$504,Daily!$B$2:$B$504,A16))-1</f>
        <v>0.000777537139866169</v>
      </c>
      <c r="E16" s="2">
        <f>EXP(SUMIFS(Daily!$J$2:$J$504,Daily!$B$2:$B$504,A16))-EXP(SUMIFS(Daily!$L$2:$L$504,Daily!$B$2:$B$504,A16))</f>
        <v>-0.011627308315758533</v>
      </c>
      <c r="F16" s="2">
        <f>SUMIFS(Daily!$H$2:$H$504,Daily!$B$2:$B$504,A16)</f>
        <v>0.0015478088532586986</v>
      </c>
      <c r="G16" s="2">
        <f>1/F16</f>
        <v>646.0746092094238</v>
      </c>
      <c r="H16" s="2">
        <f>E17</f>
        <v>-0.01737003267278947</v>
      </c>
      <c r="I16" s="2">
        <f>H16*G16</f>
        <v>-11.22233707102738</v>
      </c>
      <c r="J16" s="2">
        <f>STDEV(H$2:H15)/STDEV(I$2:I15)</f>
        <v>0.0014217115634011601</v>
      </c>
      <c r="K16" s="2">
        <f>EXP(SUMIFS(Daily!$K$2:$K$504,Daily!$B$2:$B$504,A16))-EXP(SUMIFS(Daily!$L$2:$L$504,Daily!$B$2:$B$504,A16))</f>
        <v>0.004679200052848387</v>
      </c>
      <c r="L16" s="2">
        <f>SUMIFS(Daily!$I$2:$I$504,Daily!$B$2:$B$504,A16)</f>
        <v>0.0010885622958428246</v>
      </c>
      <c r="M16" s="2">
        <f>1/L16</f>
        <v>918.6428776919424</v>
      </c>
      <c r="N16" s="2">
        <f>K17</f>
        <v>0.004816467950900183</v>
      </c>
      <c r="O16" s="2">
        <f>N16*M16</f>
        <v>4.424613978725957</v>
      </c>
      <c r="P16" s="2">
        <f>STDEV(N$2:N15)/STDEV(O$2:O15)</f>
        <v>0.0018507307699522574</v>
      </c>
      <c r="Q16" s="2">
        <f>B17</f>
        <v>2.0</v>
      </c>
      <c r="R16" s="2">
        <f>IF(Q16=1,F16,L16)</f>
        <v>0.0010885622958428246</v>
      </c>
      <c r="S16" s="2">
        <f>IF(Q16=1,G16,M16)</f>
        <v>918.6428776919424</v>
      </c>
      <c r="T16" s="2">
        <f>IF(Q16=1,J16,P16)</f>
        <v>0.0018507307699522574</v>
      </c>
      <c r="U16" s="2">
        <f>T16*S16</f>
        <v>1.700160640341966</v>
      </c>
      <c r="V16" s="2">
        <f>MIN(Inputs!$B$2,MAX(0,U16))</f>
        <v>1.3</v>
      </c>
      <c r="W16" s="2">
        <f>V15</f>
        <v>1.3</v>
      </c>
      <c r="X16" s="2">
        <f>W16*INDEX(Inputs!$E$2:$E$3,B16)</f>
        <v>-0.39</v>
      </c>
      <c r="Y16" s="2">
        <f>W16*INDEX(Inputs!$F$2:$F$3,B16)</f>
        <v>1.56</v>
      </c>
      <c r="Z16" s="2">
        <f>1-X16-Y16</f>
        <v>-0.16999999999999993</v>
      </c>
      <c r="AA16" s="2">
        <f>IF(X16&lt;0,EXP(SUMIFS(Daily!$O$2:$O$504,Daily!$B$2:$B$504,A16)),EXP(SUMIFS(Daily!$M$2:$M$504,Daily!$B$2:$B$504,A16)))</f>
        <v>0.9860376040413473</v>
      </c>
      <c r="AB16" s="2">
        <f>IF(Y16&lt;0,EXP(SUMIFS(Daily!$P$2:$P$504,Daily!$B$2:$B$504,A16)),EXP(SUMIFS(Daily!$N$2:$N$504,Daily!$B$2:$B$504,A16)))</f>
        <v>1.0011831251975014</v>
      </c>
      <c r="AC16" s="2">
        <f>IF(Z16&lt;0,EXP(SUMIFS(Daily!$Q$2:$Q$504,Daily!$B$2:$B$504,A16)),1+D16)</f>
        <v>1.0012343254261895</v>
      </c>
      <c r="AD16" s="2">
        <f>X16*AA16+Y16*AB16+Z16*AC16</f>
        <v>1.0070811744095247</v>
      </c>
      <c r="AE16" s="2">
        <f>X16*AA16/AD16</f>
        <v>-0.38185071407138443</v>
      </c>
      <c r="AF16" s="2">
        <f>Y16*AB16/AD16</f>
        <v>1.5508637386890376</v>
      </c>
      <c r="AG16" s="2">
        <f>ABS(X16-AE15)</f>
        <v>0.02865452552428871</v>
      </c>
      <c r="AH16" s="2">
        <f>ABS(Y16-AF15)</f>
        <v>0.039565717144935286</v>
      </c>
      <c r="AI16" s="2">
        <f>AG16+AH16</f>
        <v>0.068220242669224</v>
      </c>
      <c r="AJ16" s="2">
        <f>Inputs!$B$4*AG16+Inputs!$B$5*AH16</f>
        <v>5.389297990707964e-05</v>
      </c>
      <c r="AK16" s="2">
        <f>(1-AJ16)*AD16-1</f>
        <v>0.007026899804027487</v>
      </c>
      <c r="AL16" s="2">
        <f>AK16-D16</f>
        <v>0.006249362664161318</v>
      </c>
      <c r="AM16" s="2">
        <f>1*INDEX(Inputs!$E$2:$E$3,B16)</f>
        <v>-0.3</v>
      </c>
      <c r="AN16" s="2">
        <f>1*INDEX(Inputs!$F$2:$F$3,B16)</f>
        <v>1.2</v>
      </c>
      <c r="AO16" s="2">
        <f>1-AM16-AN16</f>
        <v>0.10000000000000009</v>
      </c>
      <c r="AP16" s="2">
        <f>IF(AM16&lt;0,EXP(SUMIFS(Daily!$O$2:$O$504,Daily!$B$2:$B$504,A16)),EXP(SUMIFS(Daily!$M$2:$M$504,Daily!$B$2:$B$504,A16)))</f>
        <v>0.9860376040413473</v>
      </c>
      <c r="AQ16" s="2">
        <f>IF(AN16&lt;0,EXP(SUMIFS(Daily!$P$2:$P$504,Daily!$B$2:$B$504,A16)),EXP(SUMIFS(Daily!$N$2:$N$504,Daily!$B$2:$B$504,A16)))</f>
        <v>1.0011831251975014</v>
      </c>
      <c r="AR16" s="2">
        <f>IF(AO16&lt;0,EXP(SUMIFS(Daily!$Q$2:$Q$504,Daily!$B$2:$B$504,A16)),1+D16)</f>
        <v>1.0007775371398662</v>
      </c>
      <c r="AS16" s="2">
        <f>AM16*AP16+AN16*AQ16+AO16*AR16</f>
        <v>1.005686222738584</v>
      </c>
      <c r="AT16" s="2">
        <f>AM16*AP16/AS16</f>
        <v>-0.29413874280476915</v>
      </c>
      <c r="AU16" s="2">
        <f>AN16*AQ16/AS16</f>
        <v>1.194626835958253</v>
      </c>
      <c r="AV16" s="2">
        <f>ABS(AM16-AT15)</f>
        <v>0.017852949752727942</v>
      </c>
      <c r="AW16" s="2">
        <f>ABS(AN16-AU15)</f>
        <v>0.012809130583927297</v>
      </c>
      <c r="AX16" s="2">
        <f>AV16+AW16</f>
        <v>0.03066208033665524</v>
      </c>
      <c r="AY16" s="2">
        <f>Inputs!$B$4*AV16+Inputs!$B$5*AW16</f>
        <v>2.173560546029127e-05</v>
      </c>
      <c r="AZ16" s="2">
        <f>(1-AY16)*AS16-1</f>
        <v>0.005664363539629846</v>
      </c>
      <c r="BA16" s="2">
        <f>AZ16-D16</f>
        <v>0.004886826399763677</v>
      </c>
    </row>
    <row r="17" spans="1:53">
      <c r="A17" t="s">
        <v>56</v>
      </c>
      <c r="B17" s="2">
        <f>MATCH(C17,Inputs!$D$2:$D$3,0)</f>
        <v>2.0</v>
      </c>
      <c r="C17" s="2">
        <f>VALUE(LEFT(A17,4))</f>
        <v>2017.0</v>
      </c>
      <c r="D17" s="2">
        <f>EXP(SUMIFS(Daily!$L$2:$L$504,Daily!$B$2:$B$504,A17))-1</f>
        <v>0.0006738300426063493</v>
      </c>
      <c r="E17" s="2">
        <f>EXP(SUMIFS(Daily!$J$2:$J$504,Daily!$B$2:$B$504,A17))-EXP(SUMIFS(Daily!$L$2:$L$504,Daily!$B$2:$B$504,A17))</f>
        <v>-0.01737003267278947</v>
      </c>
      <c r="F17" s="2">
        <f>SUMIFS(Daily!$H$2:$H$504,Daily!$B$2:$B$504,A17)</f>
        <v>0.0007313309966532136</v>
      </c>
      <c r="G17" s="2">
        <f>1/F17</f>
        <v>1367.3699112663007</v>
      </c>
      <c r="H17" s="2">
        <f>E18</f>
        <v>-0.011546820755040543</v>
      </c>
      <c r="I17" s="2">
        <f>H17*G17</f>
        <v>-15.788775271227667</v>
      </c>
      <c r="J17" s="2">
        <f>STDEV(H$2:H16)/STDEV(I$2:I16)</f>
        <v>0.0014244114266229806</v>
      </c>
      <c r="K17" s="2">
        <f>EXP(SUMIFS(Daily!$K$2:$K$504,Daily!$B$2:$B$504,A17))-EXP(SUMIFS(Daily!$L$2:$L$504,Daily!$B$2:$B$504,A17))</f>
        <v>0.004816467950900183</v>
      </c>
      <c r="L17" s="2">
        <f>SUMIFS(Daily!$I$2:$I$504,Daily!$B$2:$B$504,A17)</f>
        <v>0.0012363590684053073</v>
      </c>
      <c r="M17" s="2">
        <f>1/L17</f>
        <v>808.8265177605966</v>
      </c>
      <c r="N17" s="2">
        <f>K18</f>
        <v>0.03691275732402355</v>
      </c>
      <c r="O17" s="2">
        <f>N17*M17</f>
        <v>29.856016967331925</v>
      </c>
      <c r="P17" s="2">
        <f>STDEV(N$2:N16)/STDEV(O$2:O16)</f>
        <v>0.0018524135971541048</v>
      </c>
      <c r="Q17" s="2">
        <f>B18</f>
        <v>2.0</v>
      </c>
      <c r="R17" s="2">
        <f>IF(Q17=1,F17,L17)</f>
        <v>0.0012363590684053073</v>
      </c>
      <c r="S17" s="2">
        <f>IF(Q17=1,G17,M17)</f>
        <v>808.8265177605966</v>
      </c>
      <c r="T17" s="2">
        <f>IF(Q17=1,J17,P17)</f>
        <v>0.0018524135971541048</v>
      </c>
      <c r="U17" s="2">
        <f>T17*S17</f>
        <v>1.4982812392385352</v>
      </c>
      <c r="V17" s="2">
        <f>MIN(Inputs!$B$2,MAX(0,U17))</f>
        <v>1.3</v>
      </c>
      <c r="W17" s="2">
        <f>V16</f>
        <v>1.3</v>
      </c>
      <c r="X17" s="2">
        <f>W17*INDEX(Inputs!$E$2:$E$3,B17)</f>
        <v>-0.39</v>
      </c>
      <c r="Y17" s="2">
        <f>W17*INDEX(Inputs!$F$2:$F$3,B17)</f>
        <v>1.56</v>
      </c>
      <c r="Z17" s="2">
        <f>1-X17-Y17</f>
        <v>-0.16999999999999993</v>
      </c>
      <c r="AA17" s="2">
        <f>IF(X17&lt;0,EXP(SUMIFS(Daily!$O$2:$O$504,Daily!$B$2:$B$504,A17)),EXP(SUMIFS(Daily!$M$2:$M$504,Daily!$B$2:$B$504,A17)))</f>
        <v>0.9796608293075953</v>
      </c>
      <c r="AB17" s="2">
        <f>IF(Y17&lt;0,EXP(SUMIFS(Daily!$P$2:$P$504,Daily!$B$2:$B$504,A17)),EXP(SUMIFS(Daily!$N$2:$N$504,Daily!$B$2:$B$504,A17)))</f>
        <v>0.9996126999773484</v>
      </c>
      <c r="AC17" s="2">
        <f>IF(Z17&lt;0,EXP(SUMIFS(Daily!$Q$2:$Q$504,Daily!$B$2:$B$504,A17)),1+D17)</f>
        <v>1.0010511221856648</v>
      </c>
      <c r="AD17" s="2">
        <f>X17*AA17+Y17*AB17+Z17*AC17</f>
        <v>1.0071493977631385</v>
      </c>
      <c r="AE17" s="2">
        <f>X17*AA17/AD17</f>
        <v>-0.3793555596404347</v>
      </c>
      <c r="AF17" s="2">
        <f>Y17*AB17/AD17</f>
        <v>1.5483262120079255</v>
      </c>
      <c r="AG17" s="2">
        <f>ABS(X17-AE16)</f>
        <v>0.00814928592861558</v>
      </c>
      <c r="AH17" s="2">
        <f>ABS(Y17-AF16)</f>
        <v>0.009136261310962457</v>
      </c>
      <c r="AI17" s="2">
        <f>AG17+AH17</f>
        <v>0.017285547239578036</v>
      </c>
      <c r="AJ17" s="2">
        <f>Inputs!$B$4*AG17+Inputs!$B$5*AH17</f>
        <v>1.3210904275270248e-05</v>
      </c>
      <c r="AK17" s="2">
        <f>(1-AJ17)*AD17-1</f>
        <v>0.007136092408853711</v>
      </c>
      <c r="AL17" s="2">
        <f>AK17-D17</f>
        <v>0.006462262366247362</v>
      </c>
      <c r="AM17" s="2">
        <f>1*INDEX(Inputs!$E$2:$E$3,B17)</f>
        <v>-0.3</v>
      </c>
      <c r="AN17" s="2">
        <f>1*INDEX(Inputs!$F$2:$F$3,B17)</f>
        <v>1.2</v>
      </c>
      <c r="AO17" s="2">
        <f>1-AM17-AN17</f>
        <v>0.10000000000000009</v>
      </c>
      <c r="AP17" s="2">
        <f>IF(AM17&lt;0,EXP(SUMIFS(Daily!$O$2:$O$504,Daily!$B$2:$B$504,A17)),EXP(SUMIFS(Daily!$M$2:$M$504,Daily!$B$2:$B$504,A17)))</f>
        <v>0.9796608293075953</v>
      </c>
      <c r="AQ17" s="2">
        <f>IF(AN17&lt;0,EXP(SUMIFS(Daily!$P$2:$P$504,Daily!$B$2:$B$504,A17)),EXP(SUMIFS(Daily!$N$2:$N$504,Daily!$B$2:$B$504,A17)))</f>
        <v>0.9996126999773484</v>
      </c>
      <c r="AR17" s="2">
        <f>IF(AO17&lt;0,EXP(SUMIFS(Daily!$Q$2:$Q$504,Daily!$B$2:$B$504,A17)),1+D17)</f>
        <v>1.0006738300426063</v>
      </c>
      <c r="AS17" s="2">
        <f>AM17*AP17+AN17*AQ17+AO17*AR17</f>
        <v>1.0057043741848002</v>
      </c>
      <c r="AT17" s="2">
        <f>AM17*AP17/AS17</f>
        <v>-0.29223125238020914</v>
      </c>
      <c r="AU17" s="2">
        <f>AN17*AQ17/AS17</f>
        <v>1.1927314534603</v>
      </c>
      <c r="AV17" s="2">
        <f>ABS(AM17-AT16)</f>
        <v>0.00586125719523084</v>
      </c>
      <c r="AW17" s="2">
        <f>ABS(AN17-AU16)</f>
        <v>0.005373164041746925</v>
      </c>
      <c r="AX17" s="2">
        <f>AV17+AW17</f>
        <v>0.011234421236977765</v>
      </c>
      <c r="AY17" s="2">
        <f>Inputs!$B$4*AV17+Inputs!$B$5*AW17</f>
        <v>8.303792639362346e-06</v>
      </c>
      <c r="AZ17" s="2">
        <f>(1-AY17)*AS17-1</f>
        <v>0.0056960230242204535</v>
      </c>
      <c r="BA17" s="2">
        <f>AZ17-D17</f>
        <v>0.005022192981614104</v>
      </c>
    </row>
    <row r="18" spans="1:53">
      <c r="A18" t="s">
        <v>57</v>
      </c>
      <c r="B18" s="2">
        <f>MATCH(C18,Inputs!$D$2:$D$3,0)</f>
        <v>2.0</v>
      </c>
      <c r="C18" s="2">
        <f>VALUE(LEFT(A18,4))</f>
        <v>2017.0</v>
      </c>
      <c r="D18" s="2">
        <f>EXP(SUMIFS(Daily!$L$2:$L$504,Daily!$B$2:$B$504,A18))-1</f>
        <v>0.0008159439630375243</v>
      </c>
      <c r="E18" s="2">
        <f>EXP(SUMIFS(Daily!$J$2:$J$504,Daily!$B$2:$B$504,A18))-EXP(SUMIFS(Daily!$L$2:$L$504,Daily!$B$2:$B$504,A18))</f>
        <v>-0.011546820755040543</v>
      </c>
      <c r="F18" s="2">
        <f>SUMIFS(Daily!$H$2:$H$504,Daily!$B$2:$B$504,A18)</f>
        <v>0.002021777737040324</v>
      </c>
      <c r="G18" s="2">
        <f>1/F18</f>
        <v>494.61421088942143</v>
      </c>
      <c r="H18" s="2">
        <f>E19</f>
        <v>0.006268485401322854</v>
      </c>
      <c r="I18" s="2">
        <f>H18*G18</f>
        <v>3.1004819602471616</v>
      </c>
      <c r="J18" s="2">
        <f>STDEV(H$2:H17)/STDEV(I$2:I17)</f>
        <v>0.0014118703711267114</v>
      </c>
      <c r="K18" s="2">
        <f>EXP(SUMIFS(Daily!$K$2:$K$504,Daily!$B$2:$B$504,A18))-EXP(SUMIFS(Daily!$L$2:$L$504,Daily!$B$2:$B$504,A18))</f>
        <v>0.03691275732402355</v>
      </c>
      <c r="L18" s="2">
        <f>SUMIFS(Daily!$I$2:$I$504,Daily!$B$2:$B$504,A18)</f>
        <v>0.0006524047792570301</v>
      </c>
      <c r="M18" s="2">
        <f>1/L18</f>
        <v>1532.790733291098</v>
      </c>
      <c r="N18" s="2">
        <f>K19</f>
        <v>-0.048172534912653275</v>
      </c>
      <c r="O18" s="2">
        <f>N18*M18</f>
        <v>-73.83841511325683</v>
      </c>
      <c r="P18" s="2">
        <f>STDEV(N$2:N17)/STDEV(O$2:O17)</f>
        <v>0.0017772394955884337</v>
      </c>
      <c r="Q18" s="2">
        <f>B19</f>
        <v>2.0</v>
      </c>
      <c r="R18" s="2">
        <f>IF(Q18=1,F18,L18)</f>
        <v>0.0006524047792570301</v>
      </c>
      <c r="S18" s="2">
        <f>IF(Q18=1,G18,M18)</f>
        <v>1532.790733291098</v>
      </c>
      <c r="T18" s="2">
        <f>IF(Q18=1,J18,P18)</f>
        <v>0.0017772394955884337</v>
      </c>
      <c r="U18" s="2">
        <f>T18*S18</f>
        <v>2.7241362296768963</v>
      </c>
      <c r="V18" s="2">
        <f>MIN(Inputs!$B$2,MAX(0,U18))</f>
        <v>1.3</v>
      </c>
      <c r="W18" s="2">
        <f>V17</f>
        <v>1.3</v>
      </c>
      <c r="X18" s="2">
        <f>W18*INDEX(Inputs!$E$2:$E$3,B18)</f>
        <v>-0.39</v>
      </c>
      <c r="Y18" s="2">
        <f>W18*INDEX(Inputs!$F$2:$F$3,B18)</f>
        <v>1.56</v>
      </c>
      <c r="Z18" s="2">
        <f>1-X18-Y18</f>
        <v>-0.16999999999999993</v>
      </c>
      <c r="AA18" s="2">
        <f>IF(X18&lt;0,EXP(SUMIFS(Daily!$O$2:$O$504,Daily!$B$2:$B$504,A18)),EXP(SUMIFS(Daily!$M$2:$M$504,Daily!$B$2:$B$504,A18)))</f>
        <v>0.9699651774809429</v>
      </c>
      <c r="AB18" s="2">
        <f>IF(Y18&lt;0,EXP(SUMIFS(Daily!$P$2:$P$504,Daily!$B$2:$B$504,A18)),EXP(SUMIFS(Daily!$N$2:$N$504,Daily!$B$2:$B$504,A18)))</f>
        <v>1.0236955414149131</v>
      </c>
      <c r="AC18" s="2">
        <f>IF(Z18&lt;0,EXP(SUMIFS(Daily!$Q$2:$Q$504,Daily!$B$2:$B$504,A18)),1+D18)</f>
        <v>1.0012528828885405</v>
      </c>
      <c r="AD18" s="2">
        <f>X18*AA18+Y18*AB18+Z18*AC18</f>
        <v>1.048465635298645</v>
      </c>
      <c r="AE18" s="2">
        <f>X18*AA18/AD18</f>
        <v>-0.3608000171696773</v>
      </c>
      <c r="AF18" s="2">
        <f>Y18*AB18/AD18</f>
        <v>1.5231448612546894</v>
      </c>
      <c r="AG18" s="2">
        <f>ABS(X18-AE17)</f>
        <v>0.0106444403595653</v>
      </c>
      <c r="AH18" s="2">
        <f>ABS(Y18-AF17)</f>
        <v>0.011673787992074525</v>
      </c>
      <c r="AI18" s="2">
        <f>AG18+AH18</f>
        <v>0.022318228351639824</v>
      </c>
      <c r="AJ18" s="2">
        <f>Inputs!$B$4*AG18+Inputs!$B$5*AH18</f>
        <v>1.6996008171857174e-05</v>
      </c>
      <c r="AK18" s="2">
        <f>(1-AJ18)*AD18-1</f>
        <v>0.048447815568139596</v>
      </c>
      <c r="AL18" s="2">
        <f>AK18-D18</f>
        <v>0.04763187160510207</v>
      </c>
      <c r="AM18" s="2">
        <f>1*INDEX(Inputs!$E$2:$E$3,B18)</f>
        <v>-0.3</v>
      </c>
      <c r="AN18" s="2">
        <f>1*INDEX(Inputs!$F$2:$F$3,B18)</f>
        <v>1.2</v>
      </c>
      <c r="AO18" s="2">
        <f>1-AM18-AN18</f>
        <v>0.10000000000000009</v>
      </c>
      <c r="AP18" s="2">
        <f>IF(AM18&lt;0,EXP(SUMIFS(Daily!$O$2:$O$504,Daily!$B$2:$B$504,A18)),EXP(SUMIFS(Daily!$M$2:$M$504,Daily!$B$2:$B$504,A18)))</f>
        <v>0.9699651774809429</v>
      </c>
      <c r="AQ18" s="2">
        <f>IF(AN18&lt;0,EXP(SUMIFS(Daily!$P$2:$P$504,Daily!$B$2:$B$504,A18)),EXP(SUMIFS(Daily!$N$2:$N$504,Daily!$B$2:$B$504,A18)))</f>
        <v>1.0236955414149131</v>
      </c>
      <c r="AR18" s="2">
        <f>IF(AO18&lt;0,EXP(SUMIFS(Daily!$Q$2:$Q$504,Daily!$B$2:$B$504,A18)),1+D18)</f>
        <v>1.0008159439630375</v>
      </c>
      <c r="AS18" s="2">
        <f>AM18*AP18+AN18*AQ18+AO18*AR18</f>
        <v>1.0375266908499168</v>
      </c>
      <c r="AT18" s="2">
        <f>AM18*AP18/AS18</f>
        <v>-0.28046464328152493</v>
      </c>
      <c r="AU18" s="2">
        <f>AN18*AQ18/AS18</f>
        <v>1.1840029374970507</v>
      </c>
      <c r="AV18" s="2">
        <f>ABS(AM18-AT17)</f>
        <v>0.00776874761979085</v>
      </c>
      <c r="AW18" s="2">
        <f>ABS(AN18-AU17)</f>
        <v>0.007268546539699994</v>
      </c>
      <c r="AX18" s="2">
        <f>AV18+AW18</f>
        <v>0.015037294159490844</v>
      </c>
      <c r="AY18" s="2">
        <f>Inputs!$B$4*AV18+Inputs!$B$5*AW18</f>
        <v>1.115292034959542e-05</v>
      </c>
      <c r="AZ18" s="2">
        <f>(1-AY18)*AS18-1</f>
        <v>0.037515119397373065</v>
      </c>
      <c r="BA18" s="2">
        <f>AZ18-D18</f>
        <v>0.03669917543433554</v>
      </c>
    </row>
    <row r="19" spans="1:53">
      <c r="A19" t="s">
        <v>58</v>
      </c>
      <c r="B19" s="2">
        <f>MATCH(C19,Inputs!$D$2:$D$3,0)</f>
        <v>2.0</v>
      </c>
      <c r="C19" s="2">
        <f>VALUE(LEFT(A19,4))</f>
        <v>2017.0</v>
      </c>
      <c r="D19" s="2">
        <f>EXP(SUMIFS(Daily!$L$2:$L$504,Daily!$B$2:$B$504,A19))-1</f>
        <v>0.0008542341201676074</v>
      </c>
      <c r="E19" s="2">
        <f>EXP(SUMIFS(Daily!$J$2:$J$504,Daily!$B$2:$B$504,A19))-EXP(SUMIFS(Daily!$L$2:$L$504,Daily!$B$2:$B$504,A19))</f>
        <v>0.006268485401322854</v>
      </c>
      <c r="F19" s="2">
        <f>SUMIFS(Daily!$H$2:$H$504,Daily!$B$2:$B$504,A19)</f>
        <v>0.0031000360924845235</v>
      </c>
      <c r="G19" s="2">
        <f>1/F19</f>
        <v>322.5768894834222</v>
      </c>
      <c r="H19" s="2">
        <f>E20</f>
        <v>-0.005236848810884265</v>
      </c>
      <c r="I19" s="2">
        <f>H19*G19</f>
        <v>-1.6892864001100043</v>
      </c>
      <c r="J19" s="2">
        <f>STDEV(H$2:H18)/STDEV(I$2:I18)</f>
        <v>0.0014117610410831877</v>
      </c>
      <c r="K19" s="2">
        <f>EXP(SUMIFS(Daily!$K$2:$K$504,Daily!$B$2:$B$504,A19))-EXP(SUMIFS(Daily!$L$2:$L$504,Daily!$B$2:$B$504,A19))</f>
        <v>-0.048172534912653275</v>
      </c>
      <c r="L19" s="2">
        <f>SUMIFS(Daily!$I$2:$I$504,Daily!$B$2:$B$504,A19)</f>
        <v>0.0012618528985607474</v>
      </c>
      <c r="M19" s="2">
        <f>1/L19</f>
        <v>792.4854007472555</v>
      </c>
      <c r="N19" s="2">
        <f>K20</f>
        <v>0.013918989129062531</v>
      </c>
      <c r="O19" s="2">
        <f>N19*M19</f>
        <v>11.030595677941813</v>
      </c>
      <c r="P19" s="2">
        <f>STDEV(N$2:N18)/STDEV(O$2:O18)</f>
        <v>0.0012398216354714744</v>
      </c>
      <c r="Q19" s="2">
        <f>B20</f>
        <v>2.0</v>
      </c>
      <c r="R19" s="2">
        <f>IF(Q19=1,F19,L19)</f>
        <v>0.0012618528985607474</v>
      </c>
      <c r="S19" s="2">
        <f>IF(Q19=1,G19,M19)</f>
        <v>792.4854007472555</v>
      </c>
      <c r="T19" s="2">
        <f>IF(Q19=1,J19,P19)</f>
        <v>0.0012398216354714744</v>
      </c>
      <c r="U19" s="2">
        <f>T19*S19</f>
        <v>0.9825405456417291</v>
      </c>
      <c r="V19" s="2">
        <f>MIN(Inputs!$B$2,MAX(0,U19))</f>
        <v>0.9825405456417291</v>
      </c>
      <c r="W19" s="2">
        <f>V18</f>
        <v>1.3</v>
      </c>
      <c r="X19" s="2">
        <f>W19*INDEX(Inputs!$E$2:$E$3,B19)</f>
        <v>-0.39</v>
      </c>
      <c r="Y19" s="2">
        <f>W19*INDEX(Inputs!$F$2:$F$3,B19)</f>
        <v>1.56</v>
      </c>
      <c r="Z19" s="2">
        <f>1-X19-Y19</f>
        <v>-0.16999999999999993</v>
      </c>
      <c r="AA19" s="2">
        <f>IF(X19&lt;0,EXP(SUMIFS(Daily!$O$2:$O$504,Daily!$B$2:$B$504,A19)),EXP(SUMIFS(Daily!$M$2:$M$504,Daily!$B$2:$B$504,A19)))</f>
        <v>1.0334584306160752</v>
      </c>
      <c r="AB19" s="2">
        <f>IF(Y19&lt;0,EXP(SUMIFS(Daily!$P$2:$P$504,Daily!$B$2:$B$504,A19)),EXP(SUMIFS(Daily!$N$2:$N$504,Daily!$B$2:$B$504,A19)))</f>
        <v>0.9688442611364433</v>
      </c>
      <c r="AC19" s="2">
        <f>IF(Z19&lt;0,EXP(SUMIFS(Daily!$Q$2:$Q$504,Daily!$B$2:$B$504,A19)),1+D19)</f>
        <v>1.0012911890024632</v>
      </c>
      <c r="AD19" s="2">
        <f>X19*AA19+Y19*AB19+Z19*AC19</f>
        <v>0.9381287573021635</v>
      </c>
      <c r="AE19" s="2">
        <f>X19*AA19/AD19</f>
        <v>-0.4296305648910522</v>
      </c>
      <c r="AF19" s="2">
        <f>Y19*AB19/AD19</f>
        <v>1.6110763427818502</v>
      </c>
      <c r="AG19" s="2">
        <f>ABS(X19-AE18)</f>
        <v>0.029199982830322713</v>
      </c>
      <c r="AH19" s="2">
        <f>ABS(Y19-AF18)</f>
        <v>0.036855138745310656</v>
      </c>
      <c r="AI19" s="2">
        <f>AG19+AH19</f>
        <v>0.06605512157563337</v>
      </c>
      <c r="AJ19" s="2">
        <f>Inputs!$B$4*AG19+Inputs!$B$5*AH19</f>
        <v>5.1455130160472015e-05</v>
      </c>
      <c r="AK19" s="2">
        <f>(1-AJ19)*AD19-1</f>
        <v>-0.06191951423515074</v>
      </c>
      <c r="AL19" s="2">
        <f>AK19-D19</f>
        <v>-0.06277374835531835</v>
      </c>
      <c r="AM19" s="2">
        <f>1*INDEX(Inputs!$E$2:$E$3,B19)</f>
        <v>-0.3</v>
      </c>
      <c r="AN19" s="2">
        <f>1*INDEX(Inputs!$F$2:$F$3,B19)</f>
        <v>1.2</v>
      </c>
      <c r="AO19" s="2">
        <f>1-AM19-AN19</f>
        <v>0.10000000000000009</v>
      </c>
      <c r="AP19" s="2">
        <f>IF(AM19&lt;0,EXP(SUMIFS(Daily!$O$2:$O$504,Daily!$B$2:$B$504,A19)),EXP(SUMIFS(Daily!$M$2:$M$504,Daily!$B$2:$B$504,A19)))</f>
        <v>1.0334584306160752</v>
      </c>
      <c r="AQ19" s="2">
        <f>IF(AN19&lt;0,EXP(SUMIFS(Daily!$P$2:$P$504,Daily!$B$2:$B$504,A19)),EXP(SUMIFS(Daily!$N$2:$N$504,Daily!$B$2:$B$504,A19)))</f>
        <v>0.9688442611364433</v>
      </c>
      <c r="AR19" s="2">
        <f>IF(AO19&lt;0,EXP(SUMIFS(Daily!$Q$2:$Q$504,Daily!$B$2:$B$504,A19)),1+D19)</f>
        <v>1.0008542341201676</v>
      </c>
      <c r="AS19" s="2">
        <f>AM19*AP19+AN19*AQ19+AO19*AR19</f>
        <v>0.9526610075909262</v>
      </c>
      <c r="AT19" s="2">
        <f>AM19*AP19/AS19</f>
        <v>-0.32544370632827774</v>
      </c>
      <c r="AU19" s="2">
        <f>AN19*AQ19/AS19</f>
        <v>1.2203849051235225</v>
      </c>
      <c r="AV19" s="2">
        <f>ABS(AM19-AT18)</f>
        <v>0.01953535671847506</v>
      </c>
      <c r="AW19" s="2">
        <f>ABS(AN19-AU18)</f>
        <v>0.0159970625029493</v>
      </c>
      <c r="AX19" s="2">
        <f>AV19+AW19</f>
        <v>0.03553241922142436</v>
      </c>
      <c r="AY19" s="2">
        <f>Inputs!$B$4*AV19+Inputs!$B$5*AW19</f>
        <v>2.576474086218683e-05</v>
      </c>
      <c r="AZ19" s="2">
        <f>(1-AY19)*AS19-1</f>
        <v>-0.04736353747306388</v>
      </c>
      <c r="BA19" s="2">
        <f>AZ19-D19</f>
        <v>-0.048217771593231484</v>
      </c>
    </row>
    <row r="20" spans="1:53">
      <c r="A20" t="s">
        <v>59</v>
      </c>
      <c r="B20" s="2">
        <f>MATCH(C20,Inputs!$D$2:$D$3,0)</f>
        <v>2.0</v>
      </c>
      <c r="C20" s="2">
        <f>VALUE(LEFT(A20,4))</f>
        <v>2017.0</v>
      </c>
      <c r="D20" s="2">
        <f>EXP(SUMIFS(Daily!$L$2:$L$504,Daily!$B$2:$B$504,A20))-1</f>
        <v>0.0008097718764761286</v>
      </c>
      <c r="E20" s="2">
        <f>EXP(SUMIFS(Daily!$J$2:$J$504,Daily!$B$2:$B$504,A20))-EXP(SUMIFS(Daily!$L$2:$L$504,Daily!$B$2:$B$504,A20))</f>
        <v>-0.005236848810884265</v>
      </c>
      <c r="F20" s="2">
        <f>SUMIFS(Daily!$H$2:$H$504,Daily!$B$2:$B$504,A20)</f>
        <v>0.0022449860562224998</v>
      </c>
      <c r="G20" s="2">
        <f>1/F20</f>
        <v>445.4370650669602</v>
      </c>
      <c r="H20" s="2">
        <f>E21</f>
        <v>-0.055259682496533014</v>
      </c>
      <c r="I20" s="2">
        <f>H20*G20</f>
        <v>-24.614710787787736</v>
      </c>
      <c r="J20" s="2">
        <f>STDEV(H$2:H19)/STDEV(I$2:I19)</f>
        <v>0.0014140283698917601</v>
      </c>
      <c r="K20" s="2">
        <f>EXP(SUMIFS(Daily!$K$2:$K$504,Daily!$B$2:$B$504,A20))-EXP(SUMIFS(Daily!$L$2:$L$504,Daily!$B$2:$B$504,A20))</f>
        <v>0.013918989129062531</v>
      </c>
      <c r="L20" s="2">
        <f>SUMIFS(Daily!$I$2:$I$504,Daily!$B$2:$B$504,A20)</f>
        <v>0.002385142775584268</v>
      </c>
      <c r="M20" s="2">
        <f>1/L20</f>
        <v>419.2621130427039</v>
      </c>
      <c r="N20" s="2">
        <f>K21</f>
        <v>0.006132173867209323</v>
      </c>
      <c r="O20" s="2">
        <f>N20*M20</f>
        <v>2.57098817311143</v>
      </c>
      <c r="P20" s="2">
        <f>STDEV(N$2:N19)/STDEV(O$2:O19)</f>
        <v>0.0012374901712050336</v>
      </c>
      <c r="Q20" s="2">
        <f>B21</f>
        <v>2.0</v>
      </c>
      <c r="R20" s="2">
        <f>IF(Q20=1,F20,L20)</f>
        <v>0.002385142775584268</v>
      </c>
      <c r="S20" s="2">
        <f>IF(Q20=1,G20,M20)</f>
        <v>419.2621130427039</v>
      </c>
      <c r="T20" s="2">
        <f>IF(Q20=1,J20,P20)</f>
        <v>0.0012374901712050336</v>
      </c>
      <c r="U20" s="2">
        <f>T20*S20</f>
        <v>0.5188327440489998</v>
      </c>
      <c r="V20" s="2">
        <f>MIN(Inputs!$B$2,MAX(0,U20))</f>
        <v>0.5188327440489998</v>
      </c>
      <c r="W20" s="2">
        <f>V19</f>
        <v>0.9825405456417291</v>
      </c>
      <c r="X20" s="2">
        <f>W20*INDEX(Inputs!$E$2:$E$3,B20)</f>
        <v>-0.29476216369251873</v>
      </c>
      <c r="Y20" s="2">
        <f>W20*INDEX(Inputs!$F$2:$F$3,B20)</f>
        <v>1.179048654770075</v>
      </c>
      <c r="Z20" s="2">
        <f>1-X20-Y20</f>
        <v>0.1157135089224437</v>
      </c>
      <c r="AA20" s="2">
        <f>IF(X20&lt;0,EXP(SUMIFS(Daily!$O$2:$O$504,Daily!$B$2:$B$504,A20)),EXP(SUMIFS(Daily!$M$2:$M$504,Daily!$B$2:$B$504,A20)))</f>
        <v>0.9870362524720961</v>
      </c>
      <c r="AB20" s="2">
        <f>IF(Y20&lt;0,EXP(SUMIFS(Daily!$P$2:$P$504,Daily!$B$2:$B$504,A20)),EXP(SUMIFS(Daily!$N$2:$N$504,Daily!$B$2:$B$504,A20)))</f>
        <v>1.0097131312222127</v>
      </c>
      <c r="AC20" s="2">
        <f>IF(Z20&lt;0,EXP(SUMIFS(Daily!$Q$2:$Q$504,Daily!$B$2:$B$504,A20)),1+D20)</f>
        <v>1.0008097718764761</v>
      </c>
      <c r="AD20" s="2">
        <f>X20*AA20+Y20*AB20+Z20*AC20</f>
        <v>1.0153671781172973</v>
      </c>
      <c r="AE20" s="2">
        <f>X20*AA20/AD20</f>
        <v>-0.2865376660698207</v>
      </c>
      <c r="AF20" s="2">
        <f>Y20*AB20/AD20</f>
        <v>1.1724831516404413</v>
      </c>
      <c r="AG20" s="2">
        <f>ABS(X20-AE19)</f>
        <v>0.1348684011985335</v>
      </c>
      <c r="AH20" s="2">
        <f>ABS(Y20-AF19)</f>
        <v>0.43202768801177527</v>
      </c>
      <c r="AI20" s="2">
        <f>AG20+AH20</f>
        <v>0.5668960892103088</v>
      </c>
      <c r="AJ20" s="2">
        <f>Inputs!$B$4*AG20+Inputs!$B$5*AH20</f>
        <v>0.000499461888611042</v>
      </c>
      <c r="AK20" s="2">
        <f>(1-AJ20)*AD20-1</f>
        <v>0.014860040908881045</v>
      </c>
      <c r="AL20" s="2">
        <f>AK20-D20</f>
        <v>0.014050269032404916</v>
      </c>
      <c r="AM20" s="2">
        <f>1*INDEX(Inputs!$E$2:$E$3,B20)</f>
        <v>-0.3</v>
      </c>
      <c r="AN20" s="2">
        <f>1*INDEX(Inputs!$F$2:$F$3,B20)</f>
        <v>1.2</v>
      </c>
      <c r="AO20" s="2">
        <f>1-AM20-AN20</f>
        <v>0.10000000000000009</v>
      </c>
      <c r="AP20" s="2">
        <f>IF(AM20&lt;0,EXP(SUMIFS(Daily!$O$2:$O$504,Daily!$B$2:$B$504,A20)),EXP(SUMIFS(Daily!$M$2:$M$504,Daily!$B$2:$B$504,A20)))</f>
        <v>0.9870362524720961</v>
      </c>
      <c r="AQ20" s="2">
        <f>IF(AN20&lt;0,EXP(SUMIFS(Daily!$P$2:$P$504,Daily!$B$2:$B$504,A20)),EXP(SUMIFS(Daily!$N$2:$N$504,Daily!$B$2:$B$504,A20)))</f>
        <v>1.0097131312222127</v>
      </c>
      <c r="AR20" s="2">
        <f>IF(AO20&lt;0,EXP(SUMIFS(Daily!$Q$2:$Q$504,Daily!$B$2:$B$504,A20)),1+D20)</f>
        <v>1.0008097718764761</v>
      </c>
      <c r="AS20" s="2">
        <f>AM20*AP20+AN20*AQ20+AO20*AR20</f>
        <v>1.015625858912674</v>
      </c>
      <c r="AT20" s="2">
        <f>AM20*AP20/AS20</f>
        <v>-0.291555077239412</v>
      </c>
      <c r="AU20" s="2">
        <f>AN20*AQ20/AS20</f>
        <v>1.1930138907292596</v>
      </c>
      <c r="AV20" s="2">
        <f>ABS(AM20-AT19)</f>
        <v>0.02544370632827775</v>
      </c>
      <c r="AW20" s="2">
        <f>ABS(AN20-AU19)</f>
        <v>0.020384905123522534</v>
      </c>
      <c r="AX20" s="2">
        <f>AV20+AW20</f>
        <v>0.04582861145180028</v>
      </c>
      <c r="AY20" s="2">
        <f>Inputs!$B$4*AV20+Inputs!$B$5*AW20</f>
        <v>3.310675828766141e-05</v>
      </c>
      <c r="AZ20" s="2">
        <f>(1-AY20)*AS20-1</f>
        <v>0.015592234832852325</v>
      </c>
      <c r="BA20" s="2">
        <f>AZ20-D20</f>
        <v>0.014782462956376197</v>
      </c>
    </row>
    <row r="21" spans="1:53">
      <c r="A21" t="s">
        <v>60</v>
      </c>
      <c r="B21" s="2">
        <f>MATCH(C21,Inputs!$D$2:$D$3,0)</f>
        <v>2.0</v>
      </c>
      <c r="C21" s="2">
        <f>VALUE(LEFT(A21,4))</f>
        <v>2017.0</v>
      </c>
      <c r="D21" s="2">
        <f>EXP(SUMIFS(Daily!$L$2:$L$504,Daily!$B$2:$B$504,A21))-1</f>
        <v>0.0009704194259256838</v>
      </c>
      <c r="E21" s="2">
        <f>EXP(SUMIFS(Daily!$J$2:$J$504,Daily!$B$2:$B$504,A21))-EXP(SUMIFS(Daily!$L$2:$L$504,Daily!$B$2:$B$504,A21))</f>
        <v>-0.055259682496533014</v>
      </c>
      <c r="F21" s="2">
        <f>SUMIFS(Daily!$H$2:$H$504,Daily!$B$2:$B$504,A21)</f>
        <v>0.0013184076407417604</v>
      </c>
      <c r="G21" s="2">
        <f>1/F21</f>
        <v>758.4907498240693</v>
      </c>
      <c r="H21" s="2">
        <f>E22</f>
        <v>0.10158877122754562</v>
      </c>
      <c r="I21" s="2">
        <f>H21*G21</f>
        <v>77.05414326208691</v>
      </c>
      <c r="J21" s="2">
        <f>STDEV(H$2:H20)/STDEV(I$2:I20)</f>
        <v>0.001460295176042498</v>
      </c>
      <c r="K21" s="2">
        <f>EXP(SUMIFS(Daily!$K$2:$K$504,Daily!$B$2:$B$504,A21))-EXP(SUMIFS(Daily!$L$2:$L$504,Daily!$B$2:$B$504,A21))</f>
        <v>0.006132173867209323</v>
      </c>
      <c r="L21" s="2">
        <f>SUMIFS(Daily!$I$2:$I$504,Daily!$B$2:$B$504,A21)</f>
        <v>0.0020456471176668813</v>
      </c>
      <c r="M21" s="2">
        <f>1/L21</f>
        <v>488.84286608558784</v>
      </c>
      <c r="N21" s="2">
        <f>K22</f>
        <v>-0.01049583527597231</v>
      </c>
      <c r="O21" s="2">
        <f>N21*M21</f>
        <v>-5.130814198268521</v>
      </c>
      <c r="P21" s="2">
        <f>STDEV(N$2:N20)/STDEV(O$2:O20)</f>
        <v>0.0012378354080712342</v>
      </c>
      <c r="Q21" s="2">
        <f>B22</f>
        <v>2.0</v>
      </c>
      <c r="R21" s="2">
        <f>IF(Q21=1,F21,L21)</f>
        <v>0.0020456471176668813</v>
      </c>
      <c r="S21" s="2">
        <f>IF(Q21=1,G21,M21)</f>
        <v>488.84286608558784</v>
      </c>
      <c r="T21" s="2">
        <f>IF(Q21=1,J21,P21)</f>
        <v>0.0012378354080712342</v>
      </c>
      <c r="U21" s="2">
        <f>T21*S21</f>
        <v>0.6051070086237653</v>
      </c>
      <c r="V21" s="2">
        <f>MIN(Inputs!$B$2,MAX(0,U21))</f>
        <v>0.6051070086237653</v>
      </c>
      <c r="W21" s="2">
        <f>V20</f>
        <v>0.5188327440489998</v>
      </c>
      <c r="X21" s="2">
        <f>W21*INDEX(Inputs!$E$2:$E$3,B21)</f>
        <v>-0.15564982321469994</v>
      </c>
      <c r="Y21" s="2">
        <f>W21*INDEX(Inputs!$F$2:$F$3,B21)</f>
        <v>0.6225992928587998</v>
      </c>
      <c r="Z21" s="2">
        <f>1-X21-Y21</f>
        <v>0.5330505303559001</v>
      </c>
      <c r="AA21" s="2">
        <f>IF(X21&lt;0,EXP(SUMIFS(Daily!$O$2:$O$504,Daily!$B$2:$B$504,A21)),EXP(SUMIFS(Daily!$M$2:$M$504,Daily!$B$2:$B$504,A21)))</f>
        <v>0.9394703022071061</v>
      </c>
      <c r="AB21" s="2">
        <f>IF(Y21&lt;0,EXP(SUMIFS(Daily!$P$2:$P$504,Daily!$B$2:$B$504,A21)),EXP(SUMIFS(Daily!$N$2:$N$504,Daily!$B$2:$B$504,A21)))</f>
        <v>0.9906276924206192</v>
      </c>
      <c r="AC21" s="2">
        <f>IF(Z21&lt;0,EXP(SUMIFS(Daily!$Q$2:$Q$504,Daily!$B$2:$B$504,A21)),1+D21)</f>
        <v>1.0009704194259257</v>
      </c>
      <c r="AD21" s="2">
        <f>X21*AA21+Y21*AB21+Z21*AC21</f>
        <v>1.0041035272789829</v>
      </c>
      <c r="AE21" s="2">
        <f>X21*AA21/AD21</f>
        <v>-0.14563078654873435</v>
      </c>
      <c r="AF21" s="2">
        <f>Y21*AB21/AD21</f>
        <v>0.6142435356828089</v>
      </c>
      <c r="AG21" s="2">
        <f>ABS(X21-AE20)</f>
        <v>0.13088784285512073</v>
      </c>
      <c r="AH21" s="2">
        <f>ABS(Y21-AF20)</f>
        <v>0.5498838587816415</v>
      </c>
      <c r="AI21" s="2">
        <f>AG21+AH21</f>
        <v>0.6807717016367623</v>
      </c>
      <c r="AJ21" s="2">
        <f>Inputs!$B$4*AG21+Inputs!$B$5*AH21</f>
        <v>0.0006153277802092019</v>
      </c>
      <c r="AK21" s="2">
        <f>(1-AJ21)*AD21-1</f>
        <v>0.003485674484442036</v>
      </c>
      <c r="AL21" s="2">
        <f>AK21-D21</f>
        <v>0.0025152550585163524</v>
      </c>
      <c r="AM21" s="2">
        <f>1*INDEX(Inputs!$E$2:$E$3,B21)</f>
        <v>-0.3</v>
      </c>
      <c r="AN21" s="2">
        <f>1*INDEX(Inputs!$F$2:$F$3,B21)</f>
        <v>1.2</v>
      </c>
      <c r="AO21" s="2">
        <f>1-AM21-AN21</f>
        <v>0.10000000000000009</v>
      </c>
      <c r="AP21" s="2">
        <f>IF(AM21&lt;0,EXP(SUMIFS(Daily!$O$2:$O$504,Daily!$B$2:$B$504,A21)),EXP(SUMIFS(Daily!$M$2:$M$504,Daily!$B$2:$B$504,A21)))</f>
        <v>0.9394703022071061</v>
      </c>
      <c r="AQ21" s="2">
        <f>IF(AN21&lt;0,EXP(SUMIFS(Daily!$P$2:$P$504,Daily!$B$2:$B$504,A21)),EXP(SUMIFS(Daily!$N$2:$N$504,Daily!$B$2:$B$504,A21)))</f>
        <v>0.9906276924206192</v>
      </c>
      <c r="AR21" s="2">
        <f>IF(AO21&lt;0,EXP(SUMIFS(Daily!$Q$2:$Q$504,Daily!$B$2:$B$504,A21)),1+D21)</f>
        <v>1.0009704194259257</v>
      </c>
      <c r="AS21" s="2">
        <f>AM21*AP21+AN21*AQ21+AO21*AR21</f>
        <v>1.0070091821852039</v>
      </c>
      <c r="AT21" s="2">
        <f>AM21*AP21/AS21</f>
        <v>-0.27987936520155493</v>
      </c>
      <c r="AU21" s="2">
        <f>AN21*AQ21/AS21</f>
        <v>1.180479038259766</v>
      </c>
      <c r="AV21" s="2">
        <f>ABS(AM21-AT20)</f>
        <v>0.008444922760588003</v>
      </c>
      <c r="AW21" s="2">
        <f>ABS(AN21-AU20)</f>
        <v>0.006986109270740393</v>
      </c>
      <c r="AX21" s="2">
        <f>AV21+AW21</f>
        <v>0.015431032031328396</v>
      </c>
      <c r="AY21" s="2">
        <f>Inputs!$B$4*AV21+Inputs!$B$5*AW21</f>
        <v>1.1208570651034395e-05</v>
      </c>
      <c r="AZ21" s="2">
        <f>(1-AY21)*AS21-1</f>
        <v>0.006997895051639169</v>
      </c>
      <c r="BA21" s="2">
        <f>AZ21-D21</f>
        <v>0.006027475625713485</v>
      </c>
    </row>
    <row r="22" spans="1:53">
      <c r="A22" t="s">
        <v>61</v>
      </c>
      <c r="B22" s="2">
        <f>MATCH(C22,Inputs!$D$2:$D$3,0)</f>
        <v>2.0</v>
      </c>
      <c r="C22" s="2">
        <f>VALUE(LEFT(A22,4))</f>
        <v>2017.0</v>
      </c>
      <c r="D22" s="2">
        <f>EXP(SUMIFS(Daily!$L$2:$L$504,Daily!$B$2:$B$504,A22))-1</f>
        <v>0.0008778084098433059</v>
      </c>
      <c r="E22" s="2">
        <f>EXP(SUMIFS(Daily!$J$2:$J$504,Daily!$B$2:$B$504,A22))-EXP(SUMIFS(Daily!$L$2:$L$504,Daily!$B$2:$B$504,A22))</f>
        <v>0.10158877122754562</v>
      </c>
      <c r="F22" s="2">
        <f>SUMIFS(Daily!$H$2:$H$504,Daily!$B$2:$B$504,A22)</f>
        <v>0.0035032144767439817</v>
      </c>
      <c r="G22" s="2">
        <f>1/F22</f>
        <v>285.45212022800195</v>
      </c>
      <c r="H22" s="2">
        <f>E23</f>
        <v>0.02124942371266636</v>
      </c>
      <c r="I22" s="2">
        <f>H22*G22</f>
        <v>6.065693052403793</v>
      </c>
      <c r="J22" s="2">
        <f>STDEV(H$2:H21)/STDEV(I$2:I21)</f>
        <v>0.0014270037174936299</v>
      </c>
      <c r="K22" s="2">
        <f>EXP(SUMIFS(Daily!$K$2:$K$504,Daily!$B$2:$B$504,A22))-EXP(SUMIFS(Daily!$L$2:$L$504,Daily!$B$2:$B$504,A22))</f>
        <v>-0.01049583527597231</v>
      </c>
      <c r="L22" s="2">
        <f>SUMIFS(Daily!$I$2:$I$504,Daily!$B$2:$B$504,A22)</f>
        <v>0.001428951786891002</v>
      </c>
      <c r="M22" s="2">
        <f>1/L22</f>
        <v>699.8136740328513</v>
      </c>
      <c r="N22" s="2">
        <f>K23</f>
        <v>-0.0823207077684972</v>
      </c>
      <c r="O22" s="2">
        <f>N22*M22</f>
        <v>-57.60915695245671</v>
      </c>
      <c r="P22" s="2">
        <f>STDEV(N$2:N21)/STDEV(O$2:O21)</f>
        <v>0.0012478669984017522</v>
      </c>
      <c r="Q22" s="2">
        <f>B23</f>
        <v>2.0</v>
      </c>
      <c r="R22" s="2">
        <f>IF(Q22=1,F22,L22)</f>
        <v>0.001428951786891002</v>
      </c>
      <c r="S22" s="2">
        <f>IF(Q22=1,G22,M22)</f>
        <v>699.8136740328513</v>
      </c>
      <c r="T22" s="2">
        <f>IF(Q22=1,J22,P22)</f>
        <v>0.0012478669984017522</v>
      </c>
      <c r="U22" s="2">
        <f>T22*S22</f>
        <v>0.8732743888558764</v>
      </c>
      <c r="V22" s="2">
        <f>MIN(Inputs!$B$2,MAX(0,U22))</f>
        <v>0.8732743888558764</v>
      </c>
      <c r="W22" s="2">
        <f>V21</f>
        <v>0.6051070086237653</v>
      </c>
      <c r="X22" s="2">
        <f>W22*INDEX(Inputs!$E$2:$E$3,B22)</f>
        <v>-0.1815321025871296</v>
      </c>
      <c r="Y22" s="2">
        <f>W22*INDEX(Inputs!$F$2:$F$3,B22)</f>
        <v>0.7261284103485184</v>
      </c>
      <c r="Z22" s="2">
        <f>1-X22-Y22</f>
        <v>0.4554036922386113</v>
      </c>
      <c r="AA22" s="2">
        <f>IF(X22&lt;0,EXP(SUMIFS(Daily!$O$2:$O$504,Daily!$B$2:$B$504,A22)),EXP(SUMIFS(Daily!$M$2:$M$504,Daily!$B$2:$B$504,A22)))</f>
        <v>1.1133315292660422</v>
      </c>
      <c r="AB22" s="2">
        <f>IF(Y22&lt;0,EXP(SUMIFS(Daily!$P$2:$P$504,Daily!$B$2:$B$504,A22)),EXP(SUMIFS(Daily!$N$2:$N$504,Daily!$B$2:$B$504,A22)))</f>
        <v>1.019722298932146</v>
      </c>
      <c r="AC22" s="2">
        <f>IF(Z22&lt;0,EXP(SUMIFS(Daily!$Q$2:$Q$504,Daily!$B$2:$B$504,A22)),1+D22)</f>
        <v>1.0008778084098433</v>
      </c>
      <c r="AD22" s="2">
        <f>X22*AA22+Y22*AB22+Z22*AC22</f>
        <v>0.9941473679658588</v>
      </c>
      <c r="AE22" s="2">
        <f>X22*AA22/AD22</f>
        <v>-0.20329522553355467</v>
      </c>
      <c r="AF22" s="2">
        <f>Y22*AB22/AD22</f>
        <v>0.7448084215477845</v>
      </c>
      <c r="AG22" s="2">
        <f>ABS(X22-AE21)</f>
        <v>0.03590131603839525</v>
      </c>
      <c r="AH22" s="2">
        <f>ABS(Y22-AF21)</f>
        <v>0.11188487466570951</v>
      </c>
      <c r="AI22" s="2">
        <f>AG22+AH22</f>
        <v>0.14778619070410476</v>
      </c>
      <c r="AJ22" s="2">
        <f>Inputs!$B$4*AG22+Inputs!$B$5*AH22</f>
        <v>0.00012983553268490714</v>
      </c>
      <c r="AK22" s="2">
        <f>(1-AJ22)*AD22-1</f>
        <v>-0.005981707687228277</v>
      </c>
      <c r="AL22" s="2">
        <f>AK22-D22</f>
        <v>-0.006859516097071583</v>
      </c>
      <c r="AM22" s="2">
        <f>1*INDEX(Inputs!$E$2:$E$3,B22)</f>
        <v>-0.3</v>
      </c>
      <c r="AN22" s="2">
        <f>1*INDEX(Inputs!$F$2:$F$3,B22)</f>
        <v>1.2</v>
      </c>
      <c r="AO22" s="2">
        <f>1-AM22-AN22</f>
        <v>0.10000000000000009</v>
      </c>
      <c r="AP22" s="2">
        <f>IF(AM22&lt;0,EXP(SUMIFS(Daily!$O$2:$O$504,Daily!$B$2:$B$504,A22)),EXP(SUMIFS(Daily!$M$2:$M$504,Daily!$B$2:$B$504,A22)))</f>
        <v>1.1133315292660422</v>
      </c>
      <c r="AQ22" s="2">
        <f>IF(AN22&lt;0,EXP(SUMIFS(Daily!$P$2:$P$504,Daily!$B$2:$B$504,A22)),EXP(SUMIFS(Daily!$N$2:$N$504,Daily!$B$2:$B$504,A22)))</f>
        <v>1.019722298932146</v>
      </c>
      <c r="AR22" s="2">
        <f>IF(AO22&lt;0,EXP(SUMIFS(Daily!$Q$2:$Q$504,Daily!$B$2:$B$504,A22)),1+D22)</f>
        <v>1.0008778084098433</v>
      </c>
      <c r="AS22" s="2">
        <f>AM22*AP22+AN22*AQ22+AO22*AR22</f>
        <v>0.9897550807797468</v>
      </c>
      <c r="AT22" s="2">
        <f>AM22*AP22/AS22</f>
        <v>-0.3374566751571327</v>
      </c>
      <c r="AU22" s="2">
        <f>AN22*AQ22/AS22</f>
        <v>1.2363328892987833</v>
      </c>
      <c r="AV22" s="2">
        <f>ABS(AM22-AT21)</f>
        <v>0.02012063479844506</v>
      </c>
      <c r="AW22" s="2">
        <f>ABS(AN22-AU21)</f>
        <v>0.019520961740233878</v>
      </c>
      <c r="AX22" s="2">
        <f>AV22+AW22</f>
        <v>0.039641596538678936</v>
      </c>
      <c r="AY22" s="2">
        <f>Inputs!$B$4*AV22+Inputs!$B$5*AW22</f>
        <v>2.958127913945641e-05</v>
      </c>
      <c r="AZ22" s="2">
        <f>(1-AY22)*AS22-1</f>
        <v>-0.010274197441577426</v>
      </c>
      <c r="BA22" s="2">
        <f>AZ22-D22</f>
        <v>-0.011152005851420732</v>
      </c>
    </row>
    <row r="23" spans="1:53">
      <c r="A23" t="s">
        <v>62</v>
      </c>
      <c r="B23" s="2">
        <f>MATCH(C23,Inputs!$D$2:$D$3,0)</f>
        <v>2.0</v>
      </c>
      <c r="C23" s="2">
        <f>VALUE(LEFT(A23,4))</f>
        <v>2017.0</v>
      </c>
      <c r="D23" s="2">
        <f>EXP(SUMIFS(Daily!$L$2:$L$504,Daily!$B$2:$B$504,A23))-1</f>
        <v>0.0010021865024862908</v>
      </c>
      <c r="E23" s="2">
        <f>EXP(SUMIFS(Daily!$J$2:$J$504,Daily!$B$2:$B$504,A23))-EXP(SUMIFS(Daily!$L$2:$L$504,Daily!$B$2:$B$504,A23))</f>
        <v>0.02124942371266636</v>
      </c>
      <c r="F23" s="2">
        <f>SUMIFS(Daily!$H$2:$H$504,Daily!$B$2:$B$504,A23)</f>
        <v>0.001851019232333923</v>
      </c>
      <c r="G23" s="2">
        <f>1/F23</f>
        <v>540.2429010632778</v>
      </c>
      <c r="H23" s="2">
        <f>E24</f>
        <v>0.04751715134256829</v>
      </c>
      <c r="I23" s="2">
        <f>H23*G23</f>
        <v>25.67080369157192</v>
      </c>
      <c r="J23" s="2">
        <f>STDEV(H$2:H22)/STDEV(I$2:I22)</f>
        <v>0.001428855513697293</v>
      </c>
      <c r="K23" s="2">
        <f>EXP(SUMIFS(Daily!$K$2:$K$504,Daily!$B$2:$B$504,A23))-EXP(SUMIFS(Daily!$L$2:$L$504,Daily!$B$2:$B$504,A23))</f>
        <v>-0.0823207077684972</v>
      </c>
      <c r="L23" s="2">
        <f>SUMIFS(Daily!$I$2:$I$504,Daily!$B$2:$B$504,A23)</f>
        <v>0.001090703963246771</v>
      </c>
      <c r="M23" s="2">
        <f>1/L23</f>
        <v>916.8390632992968</v>
      </c>
      <c r="N23" s="2">
        <f>K24</f>
        <v>0.03674428598802426</v>
      </c>
      <c r="O23" s="2">
        <f>N23*M23</f>
        <v>33.68859674686164</v>
      </c>
      <c r="P23" s="2">
        <f>STDEV(N$2:N22)/STDEV(O$2:O22)</f>
        <v>0.0013125516991371266</v>
      </c>
      <c r="Q23" s="2">
        <f>B24</f>
        <v>2.0</v>
      </c>
      <c r="R23" s="2">
        <f>IF(Q23=1,F23,L23)</f>
        <v>0.001090703963246771</v>
      </c>
      <c r="S23" s="2">
        <f>IF(Q23=1,G23,M23)</f>
        <v>916.8390632992968</v>
      </c>
      <c r="T23" s="2">
        <f>IF(Q23=1,J23,P23)</f>
        <v>0.0013125516991371266</v>
      </c>
      <c r="U23" s="2">
        <f>T23*S23</f>
        <v>1.2033986703687836</v>
      </c>
      <c r="V23" s="2">
        <f>MIN(Inputs!$B$2,MAX(0,U23))</f>
        <v>1.2033986703687836</v>
      </c>
      <c r="W23" s="2">
        <f>V22</f>
        <v>0.8732743888558764</v>
      </c>
      <c r="X23" s="2">
        <f>W23*INDEX(Inputs!$E$2:$E$3,B23)</f>
        <v>-0.2619823166567629</v>
      </c>
      <c r="Y23" s="2">
        <f>W23*INDEX(Inputs!$F$2:$F$3,B23)</f>
        <v>1.0479292666270517</v>
      </c>
      <c r="Z23" s="2">
        <f>1-X23-Y23</f>
        <v>0.2140530500297113</v>
      </c>
      <c r="AA23" s="2">
        <f>IF(X23&lt;0,EXP(SUMIFS(Daily!$O$2:$O$504,Daily!$B$2:$B$504,A23)),EXP(SUMIFS(Daily!$M$2:$M$504,Daily!$B$2:$B$504,A23)))</f>
        <v>1.070245140386097</v>
      </c>
      <c r="AB23" s="2">
        <f>IF(Y23&lt;0,EXP(SUMIFS(Daily!$P$2:$P$504,Daily!$B$2:$B$504,A23)),EXP(SUMIFS(Daily!$N$2:$N$504,Daily!$B$2:$B$504,A23)))</f>
        <v>0.9480424460135367</v>
      </c>
      <c r="AC23" s="2">
        <f>IF(Z23&lt;0,EXP(SUMIFS(Daily!$Q$2:$Q$504,Daily!$B$2:$B$504,A23)),1+D23)</f>
        <v>1.0010021865024863</v>
      </c>
      <c r="AD23" s="2">
        <f>X23*AA23+Y23*AB23+Z23*AC23</f>
        <v>0.9273636950205567</v>
      </c>
      <c r="AE23" s="2">
        <f>X23*AA23/AD23</f>
        <v>-0.3023466443365318</v>
      </c>
      <c r="AF23" s="2">
        <f>Y23*AB23/AD23</f>
        <v>1.0712964401310312</v>
      </c>
      <c r="AG23" s="2">
        <f>ABS(X23-AE22)</f>
        <v>0.058687091123208246</v>
      </c>
      <c r="AH23" s="2">
        <f>ABS(Y23-AF22)</f>
        <v>0.3031208450792672</v>
      </c>
      <c r="AI23" s="2">
        <f>AG23+AH23</f>
        <v>0.3618079362024754</v>
      </c>
      <c r="AJ23" s="2">
        <f>Inputs!$B$4*AG23+Inputs!$B$5*AH23</f>
        <v>0.0003324643906408713</v>
      </c>
      <c r="AK23" s="2">
        <f>(1-AJ23)*AD23-1</f>
        <v>-0.07294462038521077</v>
      </c>
      <c r="AL23" s="2">
        <f>AK23-D23</f>
        <v>-0.07394680688769706</v>
      </c>
      <c r="AM23" s="2">
        <f>1*INDEX(Inputs!$E$2:$E$3,B23)</f>
        <v>-0.3</v>
      </c>
      <c r="AN23" s="2">
        <f>1*INDEX(Inputs!$F$2:$F$3,B23)</f>
        <v>1.2</v>
      </c>
      <c r="AO23" s="2">
        <f>1-AM23-AN23</f>
        <v>0.10000000000000009</v>
      </c>
      <c r="AP23" s="2">
        <f>IF(AM23&lt;0,EXP(SUMIFS(Daily!$O$2:$O$504,Daily!$B$2:$B$504,A23)),EXP(SUMIFS(Daily!$M$2:$M$504,Daily!$B$2:$B$504,A23)))</f>
        <v>1.070245140386097</v>
      </c>
      <c r="AQ23" s="2">
        <f>IF(AN23&lt;0,EXP(SUMIFS(Daily!$P$2:$P$504,Daily!$B$2:$B$504,A23)),EXP(SUMIFS(Daily!$N$2:$N$504,Daily!$B$2:$B$504,A23)))</f>
        <v>0.9480424460135367</v>
      </c>
      <c r="AR23" s="2">
        <f>IF(AO23&lt;0,EXP(SUMIFS(Daily!$Q$2:$Q$504,Daily!$B$2:$B$504,A23)),1+D23)</f>
        <v>1.0010021865024863</v>
      </c>
      <c r="AS23" s="2">
        <f>AM23*AP23+AN23*AQ23+AO23*AR23</f>
        <v>0.9166776117506638</v>
      </c>
      <c r="AT23" s="2">
        <f>AM23*AP23/AS23</f>
        <v>-0.35025786383355145</v>
      </c>
      <c r="AU23" s="2">
        <f>AN23*AQ23/AS23</f>
        <v>1.2410589291512937</v>
      </c>
      <c r="AV23" s="2">
        <f>ABS(AM23-AT22)</f>
        <v>0.03745667515713269</v>
      </c>
      <c r="AW23" s="2">
        <f>ABS(AN23-AU22)</f>
        <v>0.03633288929878331</v>
      </c>
      <c r="AX23" s="2">
        <f>AV23+AW23</f>
        <v>0.073789564455916</v>
      </c>
      <c r="AY23" s="2">
        <f>Inputs!$B$4*AV23+Inputs!$B$5*AW23</f>
        <v>5.506122687734966e-05</v>
      </c>
      <c r="AZ23" s="2">
        <f>(1-AY23)*AS23-1</f>
        <v>-0.08337286164329027</v>
      </c>
      <c r="BA23" s="2">
        <f>AZ23-D23</f>
        <v>-0.08437504814577657</v>
      </c>
    </row>
    <row r="24" spans="1:53">
      <c r="A24" t="s">
        <v>63</v>
      </c>
      <c r="B24" s="2">
        <f>MATCH(C24,Inputs!$D$2:$D$3,0)</f>
        <v>2.0</v>
      </c>
      <c r="C24" s="2">
        <f>VALUE(LEFT(A24,4))</f>
        <v>2017.0</v>
      </c>
      <c r="D24" s="2">
        <f>EXP(SUMIFS(Daily!$L$2:$L$504,Daily!$B$2:$B$504,A24))-1</f>
        <v>0.0009923344828051128</v>
      </c>
      <c r="E24" s="2">
        <f>EXP(SUMIFS(Daily!$J$2:$J$504,Daily!$B$2:$B$504,A24))-EXP(SUMIFS(Daily!$L$2:$L$504,Daily!$B$2:$B$504,A24))</f>
        <v>0.04751715134256829</v>
      </c>
      <c r="F24" s="2">
        <f>SUMIFS(Daily!$H$2:$H$504,Daily!$B$2:$B$504,A24)</f>
        <v>0.002250016484209064</v>
      </c>
      <c r="G24" s="2">
        <f>1/F24</f>
        <v>444.44118832823773</v>
      </c>
      <c r="H24" s="2">
        <f>E25</f>
        <v>-0.00899680635229505</v>
      </c>
      <c r="I24" s="2">
        <f>H24*G24</f>
        <v>-3.99855130637305</v>
      </c>
      <c r="J24" s="2">
        <f>STDEV(H$2:H23)/STDEV(I$2:I23)</f>
        <v>0.001439259507677967</v>
      </c>
      <c r="K24" s="2">
        <f>EXP(SUMIFS(Daily!$K$2:$K$504,Daily!$B$2:$B$504,A24))-EXP(SUMIFS(Daily!$L$2:$L$504,Daily!$B$2:$B$504,A24))</f>
        <v>0.03674428598802426</v>
      </c>
      <c r="L24" s="2">
        <f>SUMIFS(Daily!$I$2:$I$504,Daily!$B$2:$B$504,A24)</f>
        <v>0.0011912297513360789</v>
      </c>
      <c r="M24" s="2">
        <f>1/L24</f>
        <v>839.4686238136713</v>
      </c>
      <c r="N24" s="2">
        <f>K25</f>
        <v>-0.0034044058799540533</v>
      </c>
      <c r="O24" s="2">
        <f>N24*M24</f>
        <v>-2.8578919189481997</v>
      </c>
      <c r="P24" s="2">
        <f>STDEV(N$2:N23)/STDEV(O$2:O23)</f>
        <v>0.0012924735693897098</v>
      </c>
      <c r="Q24" s="2">
        <f>B25</f>
        <v>2.0</v>
      </c>
      <c r="R24" s="2">
        <f>IF(Q24=1,F24,L24)</f>
        <v>0.0011912297513360789</v>
      </c>
      <c r="S24" s="2">
        <f>IF(Q24=1,G24,M24)</f>
        <v>839.4686238136713</v>
      </c>
      <c r="T24" s="2">
        <f>IF(Q24=1,J24,P24)</f>
        <v>0.0012924735693897098</v>
      </c>
      <c r="U24" s="2">
        <f>T24*S24</f>
        <v>1.0849910086111234</v>
      </c>
      <c r="V24" s="2">
        <f>MIN(Inputs!$B$2,MAX(0,U24))</f>
        <v>1.0849910086111234</v>
      </c>
      <c r="W24" s="2">
        <f>V23</f>
        <v>1.2033986703687836</v>
      </c>
      <c r="X24" s="2">
        <f>W24*INDEX(Inputs!$E$2:$E$3,B24)</f>
        <v>-0.3610196011106351</v>
      </c>
      <c r="Y24" s="2">
        <f>W24*INDEX(Inputs!$F$2:$F$3,B24)</f>
        <v>1.4440784044425403</v>
      </c>
      <c r="Z24" s="2">
        <f>1-X24-Y24</f>
        <v>-0.0830588033319053</v>
      </c>
      <c r="AA24" s="2">
        <f>IF(X24&lt;0,EXP(SUMIFS(Daily!$O$2:$O$504,Daily!$B$2:$B$504,A24)),EXP(SUMIFS(Daily!$M$2:$M$504,Daily!$B$2:$B$504,A24)))</f>
        <v>1.0311201430562627</v>
      </c>
      <c r="AB24" s="2">
        <f>IF(Y24&lt;0,EXP(SUMIFS(Daily!$P$2:$P$504,Daily!$B$2:$B$504,A24)),EXP(SUMIFS(Daily!$N$2:$N$504,Daily!$B$2:$B$504,A24)))</f>
        <v>1.0395527844922194</v>
      </c>
      <c r="AC24" s="2">
        <f>IF(Z24&lt;0,EXP(SUMIFS(Daily!$Q$2:$Q$504,Daily!$B$2:$B$504,A24)),1+D24)</f>
        <v>1.001409477680275</v>
      </c>
      <c r="AD24" s="2">
        <f>X24*AA24+Y24*AB24+Z24*AC24</f>
        <v>1.0457652707586593</v>
      </c>
      <c r="AE24" s="2">
        <f>X24*AA24/AD24</f>
        <v>-0.3559638029222922</v>
      </c>
      <c r="AF24" s="2">
        <f>Y24*AB24/AD24</f>
        <v>1.435499694184976</v>
      </c>
      <c r="AG24" s="2">
        <f>ABS(X24-AE23)</f>
        <v>0.05867295677410328</v>
      </c>
      <c r="AH24" s="2">
        <f>ABS(Y24-AF23)</f>
        <v>0.3727819643115091</v>
      </c>
      <c r="AI24" s="2">
        <f>AG24+AH24</f>
        <v>0.4314549210856124</v>
      </c>
      <c r="AJ24" s="2">
        <f>Inputs!$B$4*AG24+Inputs!$B$5*AH24</f>
        <v>0.0004021184426985608</v>
      </c>
      <c r="AK24" s="2">
        <f>(1-AJ24)*AD24-1</f>
        <v>0.04534474925655352</v>
      </c>
      <c r="AL24" s="2">
        <f>AK24-D24</f>
        <v>0.044352414773748405</v>
      </c>
      <c r="AM24" s="2">
        <f>1*INDEX(Inputs!$E$2:$E$3,B24)</f>
        <v>-0.3</v>
      </c>
      <c r="AN24" s="2">
        <f>1*INDEX(Inputs!$F$2:$F$3,B24)</f>
        <v>1.2</v>
      </c>
      <c r="AO24" s="2">
        <f>1-AM24-AN24</f>
        <v>0.10000000000000009</v>
      </c>
      <c r="AP24" s="2">
        <f>IF(AM24&lt;0,EXP(SUMIFS(Daily!$O$2:$O$504,Daily!$B$2:$B$504,A24)),EXP(SUMIFS(Daily!$M$2:$M$504,Daily!$B$2:$B$504,A24)))</f>
        <v>1.0311201430562627</v>
      </c>
      <c r="AQ24" s="2">
        <f>IF(AN24&lt;0,EXP(SUMIFS(Daily!$P$2:$P$504,Daily!$B$2:$B$504,A24)),EXP(SUMIFS(Daily!$N$2:$N$504,Daily!$B$2:$B$504,A24)))</f>
        <v>1.0395527844922194</v>
      </c>
      <c r="AR24" s="2">
        <f>IF(AO24&lt;0,EXP(SUMIFS(Daily!$Q$2:$Q$504,Daily!$B$2:$B$504,A24)),1+D24)</f>
        <v>1.0009923344828051</v>
      </c>
      <c r="AS24" s="2">
        <f>AM24*AP24+AN24*AQ24+AO24*AR24</f>
        <v>1.0382265319220652</v>
      </c>
      <c r="AT24" s="2">
        <f>AM24*AP24/AS24</f>
        <v>-0.29794657852193973</v>
      </c>
      <c r="AU24" s="2">
        <f>AN24*AQ24/AS24</f>
        <v>1.2015329054259851</v>
      </c>
      <c r="AV24" s="2">
        <f>ABS(AM24-AT23)</f>
        <v>0.050257863833551464</v>
      </c>
      <c r="AW24" s="2">
        <f>ABS(AN24-AU23)</f>
        <v>0.04105892915129372</v>
      </c>
      <c r="AX24" s="2">
        <f>AV24+AW24</f>
        <v>0.09131679298484519</v>
      </c>
      <c r="AY24" s="2">
        <f>Inputs!$B$4*AV24+Inputs!$B$5*AW24</f>
        <v>6.618786106806946e-05</v>
      </c>
      <c r="AZ24" s="2">
        <f>(1-AY24)*AS24-1</f>
        <v>0.03815781392861317</v>
      </c>
      <c r="BA24" s="2">
        <f>AZ24-D24</f>
        <v>0.03716547944580806</v>
      </c>
    </row>
    <row r="25" spans="1:53">
      <c r="A25" t="s">
        <v>64</v>
      </c>
      <c r="B25" s="2">
        <f>MATCH(C25,Inputs!$D$2:$D$3,0)</f>
        <v>2.0</v>
      </c>
      <c r="C25" s="2">
        <f>VALUE(LEFT(A25,4))</f>
        <v>2017.0</v>
      </c>
      <c r="D25" s="2">
        <f>EXP(SUMIFS(Daily!$L$2:$L$504,Daily!$B$2:$B$504,A25))-1</f>
        <v>0.000977497777297831</v>
      </c>
      <c r="E25" s="2">
        <f>EXP(SUMIFS(Daily!$J$2:$J$504,Daily!$B$2:$B$504,A25))-EXP(SUMIFS(Daily!$L$2:$L$504,Daily!$B$2:$B$504,A25))</f>
        <v>-0.00899680635229505</v>
      </c>
      <c r="F25" s="2">
        <f>SUMIFS(Daily!$H$2:$H$504,Daily!$B$2:$B$504,A25)</f>
        <v>0.0010249638083144942</v>
      </c>
      <c r="G25" s="2">
        <f>1/F25</f>
        <v>975.6442050812058</v>
      </c>
      <c r="J25" s="2">
        <f>STDEV(H$2:H24)/STDEV(I$2:I24)</f>
        <v>0.00144145036737652</v>
      </c>
      <c r="K25" s="2">
        <f>EXP(SUMIFS(Daily!$K$2:$K$504,Daily!$B$2:$B$504,A25))-EXP(SUMIFS(Daily!$L$2:$L$504,Daily!$B$2:$B$504,A25))</f>
        <v>-0.0034044058799540533</v>
      </c>
      <c r="L25" s="2">
        <f>SUMIFS(Daily!$I$2:$I$504,Daily!$B$2:$B$504,A25)</f>
        <v>0.00046987002396965444</v>
      </c>
      <c r="M25" s="2">
        <f>1/L25</f>
        <v>2128.248130305463</v>
      </c>
      <c r="P25" s="2">
        <f>STDEV(N$2:N24)/STDEV(O$2:O24)</f>
        <v>0.0012934756576026818</v>
      </c>
      <c r="W25" s="2">
        <f>V24</f>
        <v>1.0849910086111234</v>
      </c>
      <c r="X25" s="2">
        <f>W25*INDEX(Inputs!$E$2:$E$3,B25)</f>
        <v>-0.32549730258333703</v>
      </c>
      <c r="Y25" s="2">
        <f>W25*INDEX(Inputs!$F$2:$F$3,B25)</f>
        <v>1.3019892103333481</v>
      </c>
      <c r="Z25" s="2">
        <f>1-X25-Y25</f>
        <v>0.023508092249988843</v>
      </c>
      <c r="AA25" s="2">
        <f>IF(X25&lt;0,EXP(SUMIFS(Daily!$O$2:$O$504,Daily!$B$2:$B$504,A25)),EXP(SUMIFS(Daily!$M$2:$M$504,Daily!$B$2:$B$504,A25)))</f>
        <v>0.9931982553845881</v>
      </c>
      <c r="AB25" s="2">
        <f>IF(Y25&lt;0,EXP(SUMIFS(Daily!$P$2:$P$504,Daily!$B$2:$B$504,A25)),EXP(SUMIFS(Daily!$N$2:$N$504,Daily!$B$2:$B$504,A25)))</f>
        <v>0.9963895529441203</v>
      </c>
      <c r="AC25" s="2">
        <f>IF(Z25&lt;0,EXP(SUMIFS(Daily!$Q$2:$Q$504,Daily!$B$2:$B$504,A25)),1+D25)</f>
        <v>1.0009774977772978</v>
      </c>
      <c r="AD25" s="2">
        <f>X25*AA25+Y25*AB25+Z25*AC25</f>
        <v>0.9975361655218652</v>
      </c>
      <c r="AE25" s="2">
        <f>X25*AA25/AD25</f>
        <v>-0.32408183706205046</v>
      </c>
      <c r="AF25" s="2">
        <f>Y25*AB25/AD25</f>
        <v>1.3004926458414983</v>
      </c>
      <c r="AG25" s="2">
        <f>ABS(X25-AE24)</f>
        <v>0.03046650033895515</v>
      </c>
      <c r="AH25" s="2">
        <f>ABS(Y25-AF24)</f>
        <v>0.1335104838516279</v>
      </c>
      <c r="AI25" s="2">
        <f>AG25+AH25</f>
        <v>0.16397698419058304</v>
      </c>
      <c r="AJ25" s="2">
        <f>Inputs!$B$4*AG25+Inputs!$B$5*AH25</f>
        <v>0.00014874373402110546</v>
      </c>
      <c r="AK25" s="2">
        <f>(1-AJ25)*AD25-1</f>
        <v>-0.002612211732215597</v>
      </c>
      <c r="AL25" s="2">
        <f>AK25-D25</f>
        <v>-0.003589709509513428</v>
      </c>
      <c r="AM25" s="2">
        <f>1*INDEX(Inputs!$E$2:$E$3,B25)</f>
        <v>-0.3</v>
      </c>
      <c r="AN25" s="2">
        <f>1*INDEX(Inputs!$F$2:$F$3,B25)</f>
        <v>1.2</v>
      </c>
      <c r="AO25" s="2">
        <f>1-AM25-AN25</f>
        <v>0.10000000000000009</v>
      </c>
      <c r="AP25" s="2">
        <f>IF(AM25&lt;0,EXP(SUMIFS(Daily!$O$2:$O$504,Daily!$B$2:$B$504,A25)),EXP(SUMIFS(Daily!$M$2:$M$504,Daily!$B$2:$B$504,A25)))</f>
        <v>0.9931982553845881</v>
      </c>
      <c r="AQ25" s="2">
        <f>IF(AN25&lt;0,EXP(SUMIFS(Daily!$P$2:$P$504,Daily!$B$2:$B$504,A25)),EXP(SUMIFS(Daily!$N$2:$N$504,Daily!$B$2:$B$504,A25)))</f>
        <v>0.9963895529441203</v>
      </c>
      <c r="AR25" s="2">
        <f>IF(AO25&lt;0,EXP(SUMIFS(Daily!$Q$2:$Q$504,Daily!$B$2:$B$504,A25)),1+D25)</f>
        <v>1.0009774977772978</v>
      </c>
      <c r="AS25" s="2">
        <f>AM25*AP25+AN25*AQ25+AO25*AR25</f>
        <v>0.9978057366952978</v>
      </c>
      <c r="AT25" s="2">
        <f>AM25*AP25/AS25</f>
        <v>-0.298614715928783</v>
      </c>
      <c r="AU25" s="2">
        <f>AN25*AQ25/AS25</f>
        <v>1.1982968423221925</v>
      </c>
      <c r="AV25" s="2">
        <f>ABS(AM25-AT24)</f>
        <v>0.0020534214780602578</v>
      </c>
      <c r="AW25" s="2">
        <f>ABS(AN25-AU24)</f>
        <v>0.0015329054259851649</v>
      </c>
      <c r="AX25" s="2">
        <f>AV25+AW25</f>
        <v>0.0035863269040454226</v>
      </c>
      <c r="AY25" s="2">
        <f>Inputs!$B$4*AV25+Inputs!$B$5*AW25</f>
        <v>2.5596161650152937e-06</v>
      </c>
      <c r="AZ25" s="2">
        <f>(1-AY25)*AS25-1</f>
        <v>-0.00219681730439536</v>
      </c>
      <c r="BA25" s="2">
        <f>AZ25-D25</f>
        <v>-0.003174315081693191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17" s="1" customFormat="1" ht="45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</row>
    <row r="2" spans="1:17">
      <c r="A2" s="3">
        <v>42373</v>
      </c>
      <c r="B2" t="s">
        <v>41</v>
      </c>
      <c r="C2" s="2">
        <v>0.001677154762994908</v>
      </c>
      <c r="D2" s="2">
        <v>-0.0003623447940720463</v>
      </c>
      <c r="E2" s="2">
        <v>9.920634920634921E-06</v>
      </c>
      <c r="F2" s="2">
        <f>Inputs!$E$2*C2+Inputs!$F$2*D2</f>
        <v>0.0011243169339528</v>
      </c>
      <c r="G2" s="2">
        <f>Inputs!$E$3*C2+Inputs!$F$3*D2</f>
        <v>-0.0009379601817848999</v>
      </c>
      <c r="H2" s="2">
        <f>F2^2</f>
        <v>1.2640885679730249e-06</v>
      </c>
      <c r="I2" s="2">
        <f>G2^2</f>
        <v>8.797693026139625e-07</v>
      </c>
      <c r="J2" s="2">
        <f>LN(1+F2+E2)</f>
        <v>0.0011335948074258735</v>
      </c>
      <c r="K2" s="2">
        <f>LN(1+G2+E2)</f>
        <v>-0.0009284704421767612</v>
      </c>
      <c r="L2" s="2">
        <f>LN(1+E2)</f>
        <v>9.920585711717078e-06</v>
      </c>
      <c r="M2" s="2">
        <f>LN(1+C2+E2)</f>
        <v>0.001685653884792085</v>
      </c>
      <c r="N2" s="2">
        <f>LN(1+D2+E2)</f>
        <v>-0.00035248627513956554</v>
      </c>
      <c r="O2" s="2">
        <f>LN(1+C2+E2+Inputs!$B$7/Inputs!$B$9)</f>
        <v>0.0016955577619988797</v>
      </c>
      <c r="P2" s="2">
        <f>LN(1+D2+E2+Inputs!$B$8/Inputs!$B$9)</f>
        <v>-0.00035248627513956554</v>
      </c>
      <c r="Q2" s="2">
        <f>LN(1+E2+Inputs!$B$6/Inputs!$B$9)</f>
        <v>2.9761461885526298e-05</v>
      </c>
    </row>
    <row r="3" spans="1:17">
      <c r="A3" s="3">
        <v>42374</v>
      </c>
      <c r="B3" t="s">
        <v>41</v>
      </c>
      <c r="C3" s="2">
        <v>-0.010835432819213</v>
      </c>
      <c r="D3" s="2">
        <v>0.01214235683460663</v>
      </c>
      <c r="E3" s="2">
        <v>9.999683804464682E-06</v>
      </c>
      <c r="F3" s="2">
        <f>Inputs!$E$2*C3+Inputs!$F$2*D3</f>
        <v>-0.001382932154606201</v>
      </c>
      <c r="G3" s="2">
        <f>Inputs!$E$3*C3+Inputs!$F$3*D3</f>
        <v>0.0178214580472923</v>
      </c>
      <c r="H3" s="2">
        <f>F3^2</f>
        <v>1.9125013442437495e-06</v>
      </c>
      <c r="I3" s="2">
        <f>G3^2</f>
        <v>0.00031760436693139947</v>
      </c>
      <c r="J3" s="2">
        <f>LN(1+F3+E3)</f>
        <v>-0.0013738758061095004</v>
      </c>
      <c r="K3" s="2">
        <f>LN(1+G3+E3)</f>
        <v>0.0176743422712054</v>
      </c>
      <c r="L3" s="2">
        <f>LN(1+E3)</f>
        <v>9.999633807602415e-06</v>
      </c>
      <c r="M3" s="2">
        <f>LN(1+C3+E3)</f>
        <v>-0.010884454477585017</v>
      </c>
      <c r="N3" s="2">
        <f>LN(1+D3+E3)</f>
        <v>0.012079109453150614</v>
      </c>
      <c r="O3" s="2">
        <f>LN(1+C3+E3+Inputs!$B$7/Inputs!$B$9)</f>
        <v>-0.010874425322463889</v>
      </c>
      <c r="P3" s="2">
        <f>LN(1+D3+E3+Inputs!$B$8/Inputs!$B$9)</f>
        <v>0.012079109453150614</v>
      </c>
      <c r="Q3" s="2">
        <f>LN(1+E3+Inputs!$B$6/Inputs!$B$9)</f>
        <v>2.9840508413043774e-05</v>
      </c>
    </row>
    <row r="4" spans="1:17">
      <c r="A4" s="3">
        <v>42375</v>
      </c>
      <c r="B4" t="s">
        <v>41</v>
      </c>
      <c r="C4" s="2">
        <v>-0.003731854875340177</v>
      </c>
      <c r="D4" s="2">
        <v>0.004069457127866685</v>
      </c>
      <c r="E4" s="2">
        <v>1.007873268829444E-05</v>
      </c>
      <c r="F4" s="2">
        <f>Inputs!$E$2*C4+Inputs!$F$2*D4</f>
        <v>-0.0005438096235517997</v>
      </c>
      <c r="G4" s="2">
        <f>Inputs!$E$3*C4+Inputs!$F$3*D4</f>
        <v>0.0060029050160424</v>
      </c>
      <c r="H4" s="2">
        <f>F4^2</f>
        <v>2.957289066675501e-07</v>
      </c>
      <c r="I4" s="2">
        <f>G4^2</f>
        <v>3.603486863162701e-05</v>
      </c>
      <c r="J4" s="2">
        <f>LN(1+F4+E4)</f>
        <v>-0.0005338733758971331</v>
      </c>
      <c r="K4" s="2">
        <f>LN(1+G4+E4)</f>
        <v>0.005994977905126942</v>
      </c>
      <c r="L4" s="2">
        <f>LN(1+E4)</f>
        <v>1.0078681897905279e-05</v>
      </c>
      <c r="M4" s="2">
        <f>LN(1+C4+E4)</f>
        <v>-0.0037287191837968177</v>
      </c>
      <c r="N4" s="2">
        <f>LN(1+D4+E4)</f>
        <v>0.0040712371164959155</v>
      </c>
      <c r="O4" s="2">
        <f>LN(1+C4+E4+Inputs!$B$7/Inputs!$B$9)</f>
        <v>-0.0037187615381411125</v>
      </c>
      <c r="P4" s="2">
        <f>LN(1+D4+E4+Inputs!$B$8/Inputs!$B$9)</f>
        <v>0.0040712371164959155</v>
      </c>
      <c r="Q4" s="2">
        <f>LN(1+E4+Inputs!$B$6/Inputs!$B$9)</f>
        <v>2.991955493497901e-05</v>
      </c>
    </row>
    <row r="5" spans="1:17">
      <c r="A5" s="3">
        <v>42376</v>
      </c>
      <c r="B5" t="s">
        <v>41</v>
      </c>
      <c r="C5" s="2">
        <v>0.005905997487864341</v>
      </c>
      <c r="D5" s="2">
        <v>-0.001824783137645372</v>
      </c>
      <c r="E5" s="2">
        <v>1.01577815721242E-05</v>
      </c>
      <c r="F5" s="2">
        <f>Inputs!$E$2*C5+Inputs!$F$2*D5</f>
        <v>0.0036299281077042</v>
      </c>
      <c r="G5" s="2">
        <f>Inputs!$E$3*C5+Inputs!$F$3*D5</f>
        <v>-0.0039615390115332</v>
      </c>
      <c r="H5" s="2">
        <f>F5^2</f>
        <v>1.3176378067100992e-05</v>
      </c>
      <c r="I5" s="2">
        <f>G5^2</f>
        <v>1.5693791339899442e-05</v>
      </c>
      <c r="J5" s="2">
        <f>LN(1+F5+E5)</f>
        <v>0.003633476810190241</v>
      </c>
      <c r="K5" s="2">
        <f>LN(1+G5+E5)</f>
        <v>-0.003959208562761242</v>
      </c>
      <c r="L5" s="2">
        <f>LN(1+E5)</f>
        <v>1.0157729982181584e-05</v>
      </c>
      <c r="M5" s="2">
        <f>LN(1+C5+E5)</f>
        <v>0.005898723541599619</v>
      </c>
      <c r="N5" s="2">
        <f>LN(1+D5+E5)</f>
        <v>-0.00181627378315137</v>
      </c>
      <c r="O5" s="2">
        <f>LN(1+C5+E5+Inputs!$B$7/Inputs!$B$9)</f>
        <v>0.005908585781060574</v>
      </c>
      <c r="P5" s="2">
        <f>LN(1+D5+E5+Inputs!$B$8/Inputs!$B$9)</f>
        <v>-0.00181627378315137</v>
      </c>
      <c r="Q5" s="2">
        <f>LN(1+E5+Inputs!$B$6/Inputs!$B$9)</f>
        <v>2.9998601450887934e-05</v>
      </c>
    </row>
    <row r="6" spans="1:17">
      <c r="A6" s="3">
        <v>42377</v>
      </c>
      <c r="B6" t="s">
        <v>41</v>
      </c>
      <c r="C6" s="2">
        <v>0.006187545815954209</v>
      </c>
      <c r="D6" s="2">
        <v>-0.003538888738110742</v>
      </c>
      <c r="E6" s="2">
        <v>1.023683045595396E-05</v>
      </c>
      <c r="F6" s="2">
        <f>Inputs!$E$2*C6+Inputs!$F$2*D6</f>
        <v>0.0028267034098966</v>
      </c>
      <c r="G6" s="2">
        <f>Inputs!$E$3*C6+Inputs!$F$3*D6</f>
        <v>-0.0061029302305194</v>
      </c>
      <c r="H6" s="2">
        <f>F6^2</f>
        <v>7.990252167521066e-06</v>
      </c>
      <c r="I6" s="2">
        <f>G6^2</f>
        <v>3.724575739858757e-05</v>
      </c>
      <c r="J6" s="2">
        <f>LN(1+F6+E6)</f>
        <v>0.0028329237200144723</v>
      </c>
      <c r="K6" s="2">
        <f>LN(1+G6+E6)</f>
        <v>-0.006111329591455543</v>
      </c>
      <c r="L6" s="2">
        <f>LN(1+E6)</f>
        <v>1.023677805998725e-05</v>
      </c>
      <c r="M6" s="2">
        <f>LN(1+C6+E6)</f>
        <v>0.006178655381945284</v>
      </c>
      <c r="N6" s="2">
        <f>LN(1+D6+E6)</f>
        <v>-0.0035348922842003716</v>
      </c>
      <c r="O6" s="2">
        <f>LN(1+C6+E6+Inputs!$B$7/Inputs!$B$9)</f>
        <v>0.0061885148610513795</v>
      </c>
      <c r="P6" s="2">
        <f>LN(1+D6+E6+Inputs!$B$8/Inputs!$B$9)</f>
        <v>-0.0035348922842003716</v>
      </c>
      <c r="Q6" s="2">
        <f>LN(1+E6+Inputs!$B$6/Inputs!$B$9)</f>
        <v>3.0077647960326467e-05</v>
      </c>
    </row>
    <row r="7" spans="1:17">
      <c r="A7" s="3">
        <v>42380</v>
      </c>
      <c r="B7" t="s">
        <v>41</v>
      </c>
      <c r="C7" s="2">
        <v>-0.001341719327870274</v>
      </c>
      <c r="D7" s="2">
        <v>0.0002803580381252894</v>
      </c>
      <c r="E7" s="2">
        <v>1.031587933978372E-05</v>
      </c>
      <c r="F7" s="2">
        <f>Inputs!$E$2*C7+Inputs!$F$2*D7</f>
        <v>-0.000905160639421</v>
      </c>
      <c r="G7" s="2">
        <f>Inputs!$E$3*C7+Inputs!$F$3*D7</f>
        <v>0.0007389454441109999</v>
      </c>
      <c r="H7" s="2">
        <f>F7^2</f>
        <v>8.193157831570336e-07</v>
      </c>
      <c r="I7" s="2">
        <f>G7^2</f>
        <v>5.460403693724029e-07</v>
      </c>
      <c r="J7" s="2">
        <f>LN(1+F7+E7)</f>
        <v>-0.0008952453726619243</v>
      </c>
      <c r="K7" s="2">
        <f>LN(1+G7+E7)</f>
        <v>0.0007489807673167399</v>
      </c>
      <c r="L7" s="2">
        <f>LN(1+E7)</f>
        <v>1.0315826131766358e-05</v>
      </c>
      <c r="M7" s="2">
        <f>LN(1+C7+E7)</f>
        <v>-0.001332290553585289</v>
      </c>
      <c r="N7" s="2">
        <f>LN(1+D7+E7)</f>
        <v>0.0002906316799866108</v>
      </c>
      <c r="O7" s="2">
        <f>LN(1+C7+E7+Inputs!$B$7/Inputs!$B$9)</f>
        <v>-0.0013223567420284344</v>
      </c>
      <c r="P7" s="2">
        <f>LN(1+D7+E7+Inputs!$B$8/Inputs!$B$9)</f>
        <v>0.0002906316799866108</v>
      </c>
      <c r="Q7" s="2">
        <f>LN(1+E7+Inputs!$B$6/Inputs!$B$9)</f>
        <v>3.015669446373869e-05</v>
      </c>
    </row>
    <row r="8" spans="1:17">
      <c r="A8" s="3">
        <v>42381</v>
      </c>
      <c r="B8" t="s">
        <v>41</v>
      </c>
      <c r="C8" s="2">
        <v>0.004117370087661273</v>
      </c>
      <c r="D8" s="2">
        <v>-0.005862681561188326</v>
      </c>
      <c r="E8" s="2">
        <v>1.039492822361348E-05</v>
      </c>
      <c r="F8" s="2">
        <f>Inputs!$E$2*C8+Inputs!$F$2*D8</f>
        <v>-0.00022371286658399948</v>
      </c>
      <c r="G8" s="2">
        <f>Inputs!$E$3*C8+Inputs!$F$3*D8</f>
        <v>-0.0082704288997239</v>
      </c>
      <c r="H8" s="2">
        <f>F8^2</f>
        <v>5.0047446675230354e-08</v>
      </c>
      <c r="I8" s="2">
        <f>G8^2</f>
        <v>6.839999418538826e-05</v>
      </c>
      <c r="J8" s="2">
        <f>LN(1+F8+E8)</f>
        <v>-0.0002133406938675674</v>
      </c>
      <c r="K8" s="2">
        <f>LN(1+G8+E8)</f>
        <v>-0.008294337079262219</v>
      </c>
      <c r="L8" s="2">
        <f>LN(1+E8)</f>
        <v>1.0394874197074827e-05</v>
      </c>
      <c r="M8" s="2">
        <f>LN(1+C8+E8)</f>
        <v>0.0041192691650979866</v>
      </c>
      <c r="N8" s="2">
        <f>LN(1+D8+E8)</f>
        <v>-0.005869478369173694</v>
      </c>
      <c r="O8" s="2">
        <f>LN(1+C8+E8+Inputs!$B$7/Inputs!$B$9)</f>
        <v>0.004129148969500791</v>
      </c>
      <c r="P8" s="2">
        <f>LN(1+D8+E8+Inputs!$B$8/Inputs!$B$9)</f>
        <v>-0.005869478369173694</v>
      </c>
      <c r="Q8" s="2">
        <f>LN(1+E8+Inputs!$B$6/Inputs!$B$9)</f>
        <v>3.0235740960680525e-05</v>
      </c>
    </row>
    <row r="9" spans="1:17">
      <c r="A9" s="3">
        <v>42382</v>
      </c>
      <c r="B9" t="s">
        <v>41</v>
      </c>
      <c r="C9" s="2">
        <v>0.0007733680083496502</v>
      </c>
      <c r="D9" s="2">
        <v>0.007507131771158254</v>
      </c>
      <c r="E9" s="2">
        <v>1.047397710744324E-05</v>
      </c>
      <c r="F9" s="2">
        <f>Inputs!$E$2*C9+Inputs!$F$2*D9</f>
        <v>0.0051229734693748</v>
      </c>
      <c r="G9" s="2">
        <f>Inputs!$E$3*C9+Inputs!$F$3*D9</f>
        <v>0.0087765477228846</v>
      </c>
      <c r="H9" s="2">
        <f>F9^2</f>
        <v>2.624485716791807e-05</v>
      </c>
      <c r="I9" s="2">
        <f>G9^2</f>
        <v>7.702778993207087e-05</v>
      </c>
      <c r="J9" s="2">
        <f>LN(1+F9+E9)</f>
        <v>0.00512031622492413</v>
      </c>
      <c r="K9" s="2">
        <f>LN(1+G9+E9)</f>
        <v>0.008748640498575985</v>
      </c>
      <c r="L9" s="2">
        <f>LN(1+E9)</f>
        <v>1.0473922255246531e-05</v>
      </c>
      <c r="M9" s="2">
        <f>LN(1+C9+E9)</f>
        <v>0.0007835349417664887</v>
      </c>
      <c r="N9" s="2">
        <f>LN(1+D9+E9)</f>
        <v>0.0074894893741245085</v>
      </c>
      <c r="O9" s="2">
        <f>LN(1+C9+E9+Inputs!$B$7/Inputs!$B$9)</f>
        <v>0.00079344775743541</v>
      </c>
      <c r="P9" s="2">
        <f>LN(1+D9+E9+Inputs!$B$8/Inputs!$B$9)</f>
        <v>0.0074894893741245085</v>
      </c>
      <c r="Q9" s="2">
        <f>LN(1+E9+Inputs!$B$6/Inputs!$B$9)</f>
        <v>3.0314787450485858e-05</v>
      </c>
    </row>
    <row r="10" spans="1:17">
      <c r="A10" s="3">
        <v>42383</v>
      </c>
      <c r="B10" t="s">
        <v>41</v>
      </c>
      <c r="C10" s="2">
        <v>-0.01686519111912117</v>
      </c>
      <c r="D10" s="2">
        <v>-0.006273854492754354</v>
      </c>
      <c r="E10" s="2">
        <v>1.0553025991273E-05</v>
      </c>
      <c r="F10" s="2">
        <f>Inputs!$E$2*C10+Inputs!$F$2*D10</f>
        <v>-0.0172564655909492</v>
      </c>
      <c r="G10" s="2">
        <f>Inputs!$E$3*C10+Inputs!$F$3*D10</f>
        <v>-0.002469068055568499</v>
      </c>
      <c r="H10" s="2">
        <f>F10^2</f>
        <v>0.0002977856046916138</v>
      </c>
      <c r="I10" s="2">
        <f>G10^2</f>
        <v>6.096297063028809e-06</v>
      </c>
      <c r="J10" s="2">
        <f>LN(1+F10+E10)</f>
        <v>-0.017396355507904197</v>
      </c>
      <c r="K10" s="2">
        <f>LN(1+G10+E10)</f>
        <v>-0.002461542140135187</v>
      </c>
      <c r="L10" s="2">
        <f>LN(1+E10)</f>
        <v>1.0552970308279852e-05</v>
      </c>
      <c r="M10" s="2">
        <f>LN(1+C10+E10)</f>
        <v>-0.01699829397212655</v>
      </c>
      <c r="N10" s="2">
        <f>LN(1+D10+E10)</f>
        <v>-0.006282998226963648</v>
      </c>
      <c r="O10" s="2">
        <f>LN(1+C10+E10+Inputs!$B$7/Inputs!$B$9)</f>
        <v>-0.016988203312848418</v>
      </c>
      <c r="P10" s="2">
        <f>LN(1+D10+E10+Inputs!$B$8/Inputs!$B$9)</f>
        <v>-0.006282998226963648</v>
      </c>
      <c r="Q10" s="2">
        <f>LN(1+E10+Inputs!$B$6/Inputs!$B$9)</f>
        <v>3.0393833935153038e-05</v>
      </c>
    </row>
    <row r="11" spans="1:17">
      <c r="A11" s="3">
        <v>42384</v>
      </c>
      <c r="B11" t="s">
        <v>41</v>
      </c>
      <c r="C11" s="2">
        <v>-0.0325045930878309</v>
      </c>
      <c r="D11" s="2">
        <v>0.004241395689102295</v>
      </c>
      <c r="E11" s="2">
        <v>1.063207487510276E-05</v>
      </c>
      <c r="F11" s="2">
        <f>Inputs!$E$2*C11+Inputs!$F$2*D11</f>
        <v>-0.0234588370568036</v>
      </c>
      <c r="G11" s="2">
        <f>Inputs!$E$3*C11+Inputs!$F$3*D11</f>
        <v>0.014841052753271699</v>
      </c>
      <c r="H11" s="2">
        <f>F11^2</f>
        <v>0.0005503170360576618</v>
      </c>
      <c r="I11" s="2">
        <f>G11^2</f>
        <v>0.00022025684682539347</v>
      </c>
      <c r="J11" s="2">
        <f>LN(1+F11+E11)</f>
        <v>-0.023727488578893088</v>
      </c>
      <c r="K11" s="2">
        <f>LN(1+G11+E11)</f>
        <v>0.01474247849467484</v>
      </c>
      <c r="L11" s="2">
        <f>LN(1+E11)</f>
        <v>1.0632018354842537e-05</v>
      </c>
      <c r="M11" s="2">
        <f>LN(1+C11+E11)</f>
        <v>-0.03303361225060662</v>
      </c>
      <c r="N11" s="2">
        <f>LN(1+D11+E11)</f>
        <v>0.004243013437667601</v>
      </c>
      <c r="O11" s="2">
        <f>LN(1+C11+E11+Inputs!$B$7/Inputs!$B$9)</f>
        <v>-0.033023358480956576</v>
      </c>
      <c r="P11" s="2">
        <f>LN(1+D11+E11+Inputs!$B$8/Inputs!$B$9)</f>
        <v>0.004243013437667601</v>
      </c>
      <c r="Q11" s="2">
        <f>LN(1+E11+Inputs!$B$6/Inputs!$B$9)</f>
        <v>3.0472880413349828e-05</v>
      </c>
    </row>
    <row r="12" spans="1:17">
      <c r="A12" s="3">
        <v>42388</v>
      </c>
      <c r="B12" t="s">
        <v>41</v>
      </c>
      <c r="C12" s="2">
        <v>0.03107651615030743</v>
      </c>
      <c r="D12" s="2">
        <v>0.006767695985416353</v>
      </c>
      <c r="E12" s="2">
        <v>1.071112375893252E-05</v>
      </c>
      <c r="F12" s="2">
        <f>Inputs!$E$2*C12+Inputs!$F$2*D12</f>
        <v>0.028921830511495203</v>
      </c>
      <c r="G12" s="2">
        <f>Inputs!$E$3*C12+Inputs!$F$3*D12</f>
        <v>-0.0012017196625928993</v>
      </c>
      <c r="H12" s="2">
        <f>F12^2</f>
        <v>0.0008364722801356549</v>
      </c>
      <c r="I12" s="2">
        <f>G12^2</f>
        <v>1.444130147462392e-06</v>
      </c>
      <c r="J12" s="2">
        <f>LN(1+F12+E12)</f>
        <v>0.02852189749716675</v>
      </c>
      <c r="K12" s="2">
        <f>LN(1+G12+E12)</f>
        <v>-0.0011917183531561773</v>
      </c>
      <c r="L12" s="2">
        <f>LN(1+E12)</f>
        <v>1.071106639537867e-05</v>
      </c>
      <c r="M12" s="2">
        <f>LN(1+C12+E12)</f>
        <v>0.030613805989587947</v>
      </c>
      <c r="N12" s="2">
        <f>LN(1+D12+E12)</f>
        <v>0.0067555369981534335</v>
      </c>
      <c r="O12" s="2">
        <f>LN(1+C12+E12+Inputs!$B$7/Inputs!$B$9)</f>
        <v>0.030623427471585515</v>
      </c>
      <c r="P12" s="2">
        <f>LN(1+D12+E12+Inputs!$B$8/Inputs!$B$9)</f>
        <v>0.0067555369981534335</v>
      </c>
      <c r="Q12" s="2">
        <f>LN(1+E12+Inputs!$B$6/Inputs!$B$9)</f>
        <v>3.0551926885520314e-05</v>
      </c>
    </row>
    <row r="13" spans="1:17">
      <c r="A13" s="3">
        <v>42389</v>
      </c>
      <c r="B13" t="s">
        <v>41</v>
      </c>
      <c r="C13" s="2">
        <v>0.01309405977667456</v>
      </c>
      <c r="D13" s="2">
        <v>0.00872358742360262</v>
      </c>
      <c r="E13" s="2">
        <v>1.079017264276228E-05</v>
      </c>
      <c r="F13" s="2">
        <f>Inputs!$E$2*C13+Inputs!$F$2*D13</f>
        <v>0.0157094002755018</v>
      </c>
      <c r="G13" s="2">
        <f>Inputs!$E$3*C13+Inputs!$F$3*D13</f>
        <v>0.0065400869753211</v>
      </c>
      <c r="H13" s="2">
        <f>F13^2</f>
        <v>0.00024678525701593606</v>
      </c>
      <c r="I13" s="2">
        <f>G13^2</f>
        <v>4.277273764476469e-05</v>
      </c>
      <c r="J13" s="2">
        <f>LN(1+F13+E13)</f>
        <v>0.015597908123671815</v>
      </c>
      <c r="K13" s="2">
        <f>LN(1+G13+E13)</f>
        <v>0.006529513402352521</v>
      </c>
      <c r="L13" s="2">
        <f>LN(1+E13)</f>
        <v>1.0790114429444168e-05</v>
      </c>
      <c r="M13" s="2">
        <f>LN(1+C13+E13)</f>
        <v>0.013019724302555508</v>
      </c>
      <c r="N13" s="2">
        <f>LN(1+D13+E13)</f>
        <v>0.008696453588661744</v>
      </c>
      <c r="O13" s="2">
        <f>LN(1+C13+E13+Inputs!$B$7/Inputs!$B$9)</f>
        <v>0.013029516562802337</v>
      </c>
      <c r="P13" s="2">
        <f>LN(1+D13+E13+Inputs!$B$8/Inputs!$B$9)</f>
        <v>0.008696453588661744</v>
      </c>
      <c r="Q13" s="2">
        <f>LN(1+E13+Inputs!$B$6/Inputs!$B$9)</f>
        <v>3.063097335122042e-05</v>
      </c>
    </row>
    <row r="14" spans="1:17">
      <c r="A14" s="3">
        <v>42390</v>
      </c>
      <c r="B14" t="s">
        <v>41</v>
      </c>
      <c r="C14" s="2">
        <v>-0.0006271495004887483</v>
      </c>
      <c r="D14" s="2">
        <v>0.001176183117254437</v>
      </c>
      <c r="E14" s="2">
        <v>1.086922152659205E-05</v>
      </c>
      <c r="F14" s="2">
        <f>Inputs!$E$2*C14+Inputs!$F$2*D14</f>
        <v>0.0002039902699611999</v>
      </c>
      <c r="G14" s="2">
        <f>Inputs!$E$3*C14+Inputs!$F$3*D14</f>
        <v>0.0015995645908514998</v>
      </c>
      <c r="H14" s="2">
        <f>F14^2</f>
        <v>4.161203023884322e-08</v>
      </c>
      <c r="I14" s="2">
        <f>G14^2</f>
        <v>2.558606880305926e-06</v>
      </c>
      <c r="J14" s="2">
        <f>LN(1+F14+E14)</f>
        <v>0.00021483641249336657</v>
      </c>
      <c r="K14" s="2">
        <f>LN(1+G14+E14)</f>
        <v>0.001609138454385611</v>
      </c>
      <c r="L14" s="2">
        <f>LN(1+E14)</f>
        <v>1.0869162457483119e-05</v>
      </c>
      <c r="M14" s="2">
        <f>LN(1+C14+E14)</f>
        <v>-0.0006164702577105553</v>
      </c>
      <c r="N14" s="2">
        <f>LN(1+D14+E14)</f>
        <v>0.0011863483492135327</v>
      </c>
      <c r="O14" s="2">
        <f>LN(1+C14+E14+Inputs!$B$7/Inputs!$B$9)</f>
        <v>-0.0006065435543979187</v>
      </c>
      <c r="P14" s="2">
        <f>LN(1+D14+E14+Inputs!$B$8/Inputs!$B$9)</f>
        <v>0.0011863483492135327</v>
      </c>
      <c r="Q14" s="2">
        <f>LN(1+E14+Inputs!$B$6/Inputs!$B$9)</f>
        <v>3.071001981089422e-05</v>
      </c>
    </row>
    <row r="15" spans="1:17">
      <c r="A15" s="3">
        <v>42391</v>
      </c>
      <c r="B15" t="s">
        <v>41</v>
      </c>
      <c r="C15" s="2">
        <v>-0.02511471061684951</v>
      </c>
      <c r="D15" s="2">
        <v>0.0005343514172465261</v>
      </c>
      <c r="E15" s="2">
        <v>1.09482704104218E-05</v>
      </c>
      <c r="F15" s="2">
        <f>Inputs!$E$2*C15+Inputs!$F$2*D15</f>
        <v>-0.019771157643131802</v>
      </c>
      <c r="G15" s="2">
        <f>Inputs!$E$3*C15+Inputs!$F$3*D15</f>
        <v>0.008175634885751399</v>
      </c>
      <c r="H15" s="2">
        <f>F15^2</f>
        <v>0.00039089867454956907</v>
      </c>
      <c r="I15" s="2">
        <f>G15^2</f>
        <v>6.684100578511529e-05</v>
      </c>
      <c r="J15" s="2">
        <f>LN(1+F15+E15)</f>
        <v>-0.019958052934294607</v>
      </c>
      <c r="K15" s="2">
        <f>LN(1+G15+E15)</f>
        <v>0.008153254857314652</v>
      </c>
      <c r="L15" s="2">
        <f>LN(1+E15)</f>
        <v>1.0948210478163267e-05</v>
      </c>
      <c r="M15" s="2">
        <f>LN(1+C15+E15)</f>
        <v>-0.025424236567036174</v>
      </c>
      <c r="N15" s="2">
        <f>LN(1+D15+E15)</f>
        <v>0.0005451510658087616</v>
      </c>
      <c r="O15" s="2">
        <f>LN(1+C15+E15+Inputs!$B$7/Inputs!$B$9)</f>
        <v>-0.025414060525667675</v>
      </c>
      <c r="P15" s="2">
        <f>LN(1+D15+E15+Inputs!$B$8/Inputs!$B$9)</f>
        <v>0.0005451510658087616</v>
      </c>
      <c r="Q15" s="2">
        <f>LN(1+E15+Inputs!$B$6/Inputs!$B$9)</f>
        <v>3.0789066263209485e-05</v>
      </c>
    </row>
    <row r="16" spans="1:17">
      <c r="A16" s="3">
        <v>42394</v>
      </c>
      <c r="B16" t="s">
        <v>41</v>
      </c>
      <c r="C16" s="2">
        <v>-0.01978071126011324</v>
      </c>
      <c r="D16" s="2">
        <v>0.002702945946052501</v>
      </c>
      <c r="E16" s="2">
        <v>1.102731929425157E-05</v>
      </c>
      <c r="F16" s="2">
        <f>Inputs!$E$2*C16+Inputs!$F$2*D16</f>
        <v>-0.0142028014404586</v>
      </c>
      <c r="G16" s="2">
        <f>Inputs!$E$3*C16+Inputs!$F$3*D16</f>
        <v>0.0091777485132975</v>
      </c>
      <c r="H16" s="2">
        <f>F16^2</f>
        <v>0.00020171956875709288</v>
      </c>
      <c r="I16" s="2">
        <f>G16^2</f>
        <v>8.423106777333446e-05</v>
      </c>
      <c r="J16" s="2">
        <f>LN(1+F16+E16)</f>
        <v>-0.014293440376800274</v>
      </c>
      <c r="K16" s="2">
        <f>LN(1+G16+E16)</f>
        <v>0.009146815876495991</v>
      </c>
      <c r="L16" s="2">
        <f>LN(1+E16)</f>
        <v>1.1027258493482995e-05</v>
      </c>
      <c r="M16" s="2">
        <f>LN(1+C16+E16)</f>
        <v>-0.019967718542625038</v>
      </c>
      <c r="N16" s="2">
        <f>LN(1+D16+E16)</f>
        <v>0.0027102970897638114</v>
      </c>
      <c r="O16" s="2">
        <f>LN(1+C16+E16+Inputs!$B$7/Inputs!$B$9)</f>
        <v>-0.01995759787551599</v>
      </c>
      <c r="P16" s="2">
        <f>LN(1+D16+E16+Inputs!$B$8/Inputs!$B$9)</f>
        <v>0.0027102970897638114</v>
      </c>
      <c r="Q16" s="2">
        <f>LN(1+E16+Inputs!$B$6/Inputs!$B$9)</f>
        <v>3.086811271016456e-05</v>
      </c>
    </row>
    <row r="17" spans="1:17">
      <c r="A17" s="3">
        <v>42395</v>
      </c>
      <c r="B17" t="s">
        <v>41</v>
      </c>
      <c r="C17" s="2">
        <v>0.02199669311852192</v>
      </c>
      <c r="D17" s="2">
        <v>0.001117282083058417</v>
      </c>
      <c r="E17" s="2">
        <v>1.110636817808132E-05</v>
      </c>
      <c r="F17" s="2">
        <f>Inputs!$E$2*C17+Inputs!$F$2*D17</f>
        <v>0.0182677237446524</v>
      </c>
      <c r="G17" s="2">
        <f>Inputs!$E$3*C17+Inputs!$F$3*D17</f>
        <v>-0.0052582694358869995</v>
      </c>
      <c r="H17" s="2">
        <f>F17^2</f>
        <v>0.00033370973081093706</v>
      </c>
      <c r="I17" s="2">
        <f>G17^2</f>
        <v>2.7649397460383385e-05</v>
      </c>
      <c r="J17" s="2">
        <f>LN(1+F17+E17)</f>
        <v>0.018113780538969275</v>
      </c>
      <c r="K17" s="2">
        <f>LN(1+G17+E17)</f>
        <v>-0.005260977774374557</v>
      </c>
      <c r="L17" s="2">
        <f>LN(1+E17)</f>
        <v>1.1106306502776176e-05</v>
      </c>
      <c r="M17" s="2">
        <f>LN(1+C17+E17)</f>
        <v>0.02176912334407528</v>
      </c>
      <c r="N17" s="2">
        <f>LN(1+D17+E17)</f>
        <v>0.0011277522994935236</v>
      </c>
      <c r="O17" s="2">
        <f>LN(1+C17+E17+Inputs!$B$7/Inputs!$B$9)</f>
        <v>0.021778830302061448</v>
      </c>
      <c r="P17" s="2">
        <f>LN(1+D17+E17+Inputs!$B$8/Inputs!$B$9)</f>
        <v>0.0011277522994935236</v>
      </c>
      <c r="Q17" s="2">
        <f>LN(1+E17+Inputs!$B$6/Inputs!$B$9)</f>
        <v>3.094715915109333e-05</v>
      </c>
    </row>
    <row r="18" spans="1:17">
      <c r="A18" s="3">
        <v>42396</v>
      </c>
      <c r="B18" t="s">
        <v>41</v>
      </c>
      <c r="C18" s="2">
        <v>-0.04587213871524408</v>
      </c>
      <c r="D18" s="2">
        <v>0.007347218514985902</v>
      </c>
      <c r="E18" s="2">
        <v>1.118541706191109E-05</v>
      </c>
      <c r="F18" s="2">
        <f>Inputs!$E$2*C18+Inputs!$F$2*D18</f>
        <v>-0.0322893798632036</v>
      </c>
      <c r="G18" s="2">
        <f>Inputs!$E$3*C18+Inputs!$F$3*D18</f>
        <v>0.0225783038325564</v>
      </c>
      <c r="H18" s="2">
        <f>F18^2</f>
        <v>0.001042604051950258</v>
      </c>
      <c r="I18" s="2">
        <f>G18^2</f>
        <v>0.000509779803955231</v>
      </c>
      <c r="J18" s="2">
        <f>LN(1+F18+E18)</f>
        <v>-0.032810623967012766</v>
      </c>
      <c r="K18" s="2">
        <f>LN(1+G18+E18)</f>
        <v>0.022338125153690255</v>
      </c>
      <c r="L18" s="2">
        <f>LN(1+E18)</f>
        <v>1.1185354505598729e-05</v>
      </c>
      <c r="M18" s="2">
        <f>LN(1+C18+E18)</f>
        <v>-0.046945866894766076</v>
      </c>
      <c r="N18" s="2">
        <f>LN(1+D18+E18)</f>
        <v>0.007331462958818255</v>
      </c>
      <c r="O18" s="2">
        <f>LN(1+C18+E18+Inputs!$B$7/Inputs!$B$9)</f>
        <v>-0.04693546947587776</v>
      </c>
      <c r="P18" s="2">
        <f>LN(1+D18+E18+Inputs!$B$8/Inputs!$B$9)</f>
        <v>0.007331462958818255</v>
      </c>
      <c r="Q18" s="2">
        <f>LN(1+E18+Inputs!$B$6/Inputs!$B$9)</f>
        <v>3.102620558555173e-05</v>
      </c>
    </row>
    <row r="19" spans="1:17">
      <c r="A19" s="3">
        <v>42397</v>
      </c>
      <c r="B19" t="s">
        <v>41</v>
      </c>
      <c r="C19" s="2">
        <v>-0.006410780963385891</v>
      </c>
      <c r="D19" s="2">
        <v>-7.83163700557104E-06</v>
      </c>
      <c r="E19" s="2">
        <v>1.126446594574085E-05</v>
      </c>
      <c r="F19" s="2">
        <f>Inputs!$E$2*C19+Inputs!$F$2*D19</f>
        <v>-0.0051333237529124</v>
      </c>
      <c r="G19" s="2">
        <f>Inputs!$E$3*C19+Inputs!$F$3*D19</f>
        <v>0.0019138363246086</v>
      </c>
      <c r="H19" s="2">
        <f>F19^2</f>
        <v>2.635101275221465e-05</v>
      </c>
      <c r="I19" s="2">
        <f>G19^2</f>
        <v>3.6627694773913542e-06</v>
      </c>
      <c r="J19" s="2">
        <f>LN(1+F19+E19)</f>
        <v>-0.005135221998666738</v>
      </c>
      <c r="K19" s="2">
        <f>LN(1+G19+E19)</f>
        <v>0.0019232501587488264</v>
      </c>
      <c r="L19" s="2">
        <f>LN(1+E19)</f>
        <v>1.1264402502394737e-05</v>
      </c>
      <c r="M19" s="2">
        <f>LN(1+C19+E19)</f>
        <v>-0.006420081186132891</v>
      </c>
      <c r="N19" s="2">
        <f>LN(1+D19+E19)</f>
        <v>3.432823047853853e-06</v>
      </c>
      <c r="O19" s="2">
        <f>LN(1+C19+E19+Inputs!$B$7/Inputs!$B$9)</f>
        <v>-0.0064100967048858785</v>
      </c>
      <c r="P19" s="2">
        <f>LN(1+D19+E19+Inputs!$B$8/Inputs!$B$9)</f>
        <v>3.432823047853853e-06</v>
      </c>
      <c r="Q19" s="2">
        <f>LN(1+E19+Inputs!$B$6/Inputs!$B$9)</f>
        <v>3.110525201398383e-05</v>
      </c>
    </row>
    <row r="20" spans="1:17">
      <c r="A20" s="3">
        <v>42398</v>
      </c>
      <c r="B20" t="s">
        <v>41</v>
      </c>
      <c r="C20" s="2">
        <v>0.01733050284150204</v>
      </c>
      <c r="D20" s="2">
        <v>0.01223518485243827</v>
      </c>
      <c r="E20" s="2">
        <v>1.134351482957061E-05</v>
      </c>
      <c r="F20" s="2">
        <f>Inputs!$E$2*C20+Inputs!$F$2*D20</f>
        <v>0.0212055131846644</v>
      </c>
      <c r="G20" s="2">
        <f>Inputs!$E$3*C20+Inputs!$F$3*D20</f>
        <v>0.009483070970474999</v>
      </c>
      <c r="H20" s="2">
        <f>F20^2</f>
        <v>0.00044967378942497574</v>
      </c>
      <c r="I20" s="2">
        <f>G20^2</f>
        <v>8.992863503106564e-05</v>
      </c>
      <c r="J20" s="2">
        <f>LN(1+F20+E20)</f>
        <v>0.02099491300521832</v>
      </c>
      <c r="K20" s="2">
        <f>LN(1+G20+E20)</f>
        <v>0.009449625803793877</v>
      </c>
      <c r="L20" s="2">
        <f>LN(1+E20)</f>
        <v>1.1343450492720118e-05</v>
      </c>
      <c r="M20" s="2">
        <f>LN(1+C20+E20)</f>
        <v>0.017193192697135377</v>
      </c>
      <c r="N20" s="2">
        <f>LN(1+D20+E20)</f>
        <v>0.012172146304363841</v>
      </c>
      <c r="O20" s="2">
        <f>LN(1+C20+E20+Inputs!$B$7/Inputs!$B$9)</f>
        <v>0.01720294417505389</v>
      </c>
      <c r="P20" s="2">
        <f>LN(1+D20+E20+Inputs!$B$8/Inputs!$B$9)</f>
        <v>0.012172146304363841</v>
      </c>
      <c r="Q20" s="2">
        <f>LN(1+E20+Inputs!$B$6/Inputs!$B$9)</f>
        <v>3.118429843594555e-05</v>
      </c>
    </row>
    <row r="21" spans="1:17">
      <c r="A21" s="3">
        <v>42401</v>
      </c>
      <c r="B21" t="s">
        <v>42</v>
      </c>
      <c r="C21" s="2">
        <v>0.003019377702731496</v>
      </c>
      <c r="D21" s="2">
        <v>0.01949919942739724</v>
      </c>
      <c r="E21" s="2">
        <v>1.142256371340037E-05</v>
      </c>
      <c r="F21" s="2">
        <f>Inputs!$E$2*C21+Inputs!$F$2*D21</f>
        <v>0.014115021818623001</v>
      </c>
      <c r="G21" s="2">
        <f>Inputs!$E$3*C21+Inputs!$F$3*D21</f>
        <v>0.022493226002057103</v>
      </c>
      <c r="H21" s="2">
        <f>F21^2</f>
        <v>0.00019923384094020337</v>
      </c>
      <c r="I21" s="2">
        <f>G21^2</f>
        <v>0.0005059452159796177</v>
      </c>
      <c r="J21" s="2">
        <f>LN(1+F21+E21)</f>
        <v>0.014027595996676218</v>
      </c>
      <c r="K21" s="2">
        <f>LN(1+G21+E21)</f>
        <v>0.02225515519907723</v>
      </c>
      <c r="L21" s="2">
        <f>LN(1+E21)</f>
        <v>1.1422498475908747e-05</v>
      </c>
      <c r="M21" s="2">
        <f>LN(1+C21+E21)</f>
        <v>0.003026216650330952</v>
      </c>
      <c r="N21" s="2">
        <f>LN(1+D21+E21)</f>
        <v>0.01932272980213831</v>
      </c>
      <c r="O21" s="2">
        <f>LN(1+C21+E21+Inputs!$B$7/Inputs!$B$9)</f>
        <v>0.003036107259729538</v>
      </c>
      <c r="P21" s="2">
        <f>LN(1+D21+E21+Inputs!$B$8/Inputs!$B$9)</f>
        <v>0.01932272980213831</v>
      </c>
      <c r="Q21" s="2">
        <f>LN(1+E21+Inputs!$B$6/Inputs!$B$9)</f>
        <v>3.1263344850770785e-05</v>
      </c>
    </row>
    <row r="22" spans="1:17">
      <c r="A22" s="3">
        <v>42402</v>
      </c>
      <c r="B22" t="s">
        <v>42</v>
      </c>
      <c r="C22" s="2">
        <v>0.0142584192509526</v>
      </c>
      <c r="D22" s="2">
        <v>-0.004612749151846628</v>
      </c>
      <c r="E22" s="2">
        <v>1.150161259723013E-05</v>
      </c>
      <c r="F22" s="2">
        <f>Inputs!$E$2*C22+Inputs!$F$2*D22</f>
        <v>0.0086390859096542</v>
      </c>
      <c r="G22" s="2">
        <f>Inputs!$E$3*C22+Inputs!$F$3*D22</f>
        <v>-0.009812824757502298</v>
      </c>
      <c r="H22" s="2">
        <f>F22^2</f>
        <v>7.463380535438575e-05</v>
      </c>
      <c r="I22" s="2">
        <f>G22^2</f>
        <v>9.629152972145004e-05</v>
      </c>
      <c r="J22" s="2">
        <f>LN(1+F22+E22)</f>
        <v>0.008613385581819543</v>
      </c>
      <c r="K22" s="2">
        <f>LN(1+G22+E22)</f>
        <v>-0.00984967229576505</v>
      </c>
      <c r="L22" s="2">
        <f>LN(1+E22)</f>
        <v>1.1501546453959003e-05</v>
      </c>
      <c r="M22" s="2">
        <f>LN(1+C22+E22)</f>
        <v>0.014169063891128826</v>
      </c>
      <c r="N22" s="2">
        <f>LN(1+D22+E22)</f>
        <v>-0.004611865862919056</v>
      </c>
      <c r="O22" s="2">
        <f>LN(1+C22+E22+Inputs!$B$7/Inputs!$B$9)</f>
        <v>0.01417884490326352</v>
      </c>
      <c r="P22" s="2">
        <f>LN(1+D22+E22+Inputs!$B$8/Inputs!$B$9)</f>
        <v>-0.004611865862919056</v>
      </c>
      <c r="Q22" s="2">
        <f>LN(1+E22+Inputs!$B$6/Inputs!$B$9)</f>
        <v>3.1342391260457876e-05</v>
      </c>
    </row>
    <row r="23" spans="1:17">
      <c r="A23" s="3">
        <v>42403</v>
      </c>
      <c r="B23" t="s">
        <v>42</v>
      </c>
      <c r="C23" s="2">
        <v>-0.002149745634601589</v>
      </c>
      <c r="D23" s="2">
        <v>0.004169344220134706</v>
      </c>
      <c r="E23" s="2">
        <v>1.158066148105989E-05</v>
      </c>
      <c r="F23" s="2">
        <f>Inputs!$E$2*C23+Inputs!$F$2*D23</f>
        <v>0.0007818100243993998</v>
      </c>
      <c r="G23" s="2">
        <f>Inputs!$E$3*C23+Inputs!$F$3*D23</f>
        <v>0.0056481367545426</v>
      </c>
      <c r="H23" s="2">
        <f>F23^2</f>
        <v>6.112269142513901e-07</v>
      </c>
      <c r="I23" s="2">
        <f>G23^2</f>
        <v>3.190144879801501e-05</v>
      </c>
      <c r="J23" s="2">
        <f>LN(1+F23+E23)</f>
        <v>0.0007930761178629194</v>
      </c>
      <c r="K23" s="2">
        <f>LN(1+G23+E23)</f>
        <v>0.005643761391492854</v>
      </c>
      <c r="L23" s="2">
        <f>LN(1+E23)</f>
        <v>1.1580594425760676e-05</v>
      </c>
      <c r="M23" s="2">
        <f>LN(1+C23+E23)</f>
        <v>-0.002140454111466192</v>
      </c>
      <c r="N23" s="2">
        <f>LN(1+D23+E23)</f>
        <v>0.004172209100089838</v>
      </c>
      <c r="O23" s="2">
        <f>LN(1+C23+E23+Inputs!$B$7/Inputs!$B$9)</f>
        <v>-0.002130512268559869</v>
      </c>
      <c r="P23" s="2">
        <f>LN(1+D23+E23+Inputs!$B$8/Inputs!$B$9)</f>
        <v>0.004172209100089838</v>
      </c>
      <c r="Q23" s="2">
        <f>LN(1+E23+Inputs!$B$6/Inputs!$B$9)</f>
        <v>3.142143766389663e-05</v>
      </c>
    </row>
    <row r="24" spans="1:17">
      <c r="A24" s="3">
        <v>42404</v>
      </c>
      <c r="B24" t="s">
        <v>42</v>
      </c>
      <c r="C24" s="2">
        <v>0.04189680079022858</v>
      </c>
      <c r="D24" s="2">
        <v>-0.008380211125797466</v>
      </c>
      <c r="E24" s="2">
        <v>1.165971036488965E-05</v>
      </c>
      <c r="F24" s="2">
        <f>Inputs!$E$2*C24+Inputs!$F$2*D24</f>
        <v>0.028489313956705</v>
      </c>
      <c r="G24" s="2">
        <f>Inputs!$E$3*C24+Inputs!$F$3*D24</f>
        <v>-0.0226252935880251</v>
      </c>
      <c r="H24" s="2">
        <f>F24^2</f>
        <v>0.0008116410097237062</v>
      </c>
      <c r="I24" s="2">
        <f>G24^2</f>
        <v>0.0005119039099443296</v>
      </c>
      <c r="J24" s="2">
        <f>LN(1+F24+E24)</f>
        <v>0.028102376796931366</v>
      </c>
      <c r="K24" s="2">
        <f>LN(1+G24+E24)</f>
        <v>-0.02287324337132444</v>
      </c>
      <c r="L24" s="2">
        <f>LN(1+E24)</f>
        <v>1.1659642391091726e-05</v>
      </c>
      <c r="M24" s="2">
        <f>LN(1+C24+E24)</f>
        <v>0.0410540896646634</v>
      </c>
      <c r="N24" s="2">
        <f>LN(1+D24+E24)</f>
        <v>-0.008403764333523215</v>
      </c>
      <c r="O24" s="2">
        <f>LN(1+C24+E24+Inputs!$B$7/Inputs!$B$9)</f>
        <v>0.041063611218683654</v>
      </c>
      <c r="P24" s="2">
        <f>LN(1+D24+E24+Inputs!$B$8/Inputs!$B$9)</f>
        <v>-0.008403764333523215</v>
      </c>
      <c r="Q24" s="2">
        <f>LN(1+E24+Inputs!$B$6/Inputs!$B$9)</f>
        <v>3.1500484060865007e-05</v>
      </c>
    </row>
    <row r="25" spans="1:17">
      <c r="A25" s="3">
        <v>42405</v>
      </c>
      <c r="B25" t="s">
        <v>42</v>
      </c>
      <c r="C25" s="2">
        <v>-0.02072396311733741</v>
      </c>
      <c r="D25" s="2">
        <v>0.006832314524318233</v>
      </c>
      <c r="E25" s="2">
        <v>1.173875924871941E-05</v>
      </c>
      <c r="F25" s="2">
        <f>Inputs!$E$2*C25+Inputs!$F$2*D25</f>
        <v>-0.012479781779278798</v>
      </c>
      <c r="G25" s="2">
        <f>Inputs!$E$3*C25+Inputs!$F$3*D25</f>
        <v>0.0144159663643827</v>
      </c>
      <c r="H25" s="2">
        <f>F25^2</f>
        <v>0.0001557449532584191</v>
      </c>
      <c r="I25" s="2">
        <f>G25^2</f>
        <v>0.00020782008621901335</v>
      </c>
      <c r="J25" s="2">
        <f>LN(1+F25+E25)</f>
        <v>-0.012546421231778116</v>
      </c>
      <c r="K25" s="2">
        <f>LN(1+G25+E25)</f>
        <v>0.014324616161096435</v>
      </c>
      <c r="L25" s="2">
        <f>LN(1+E25)</f>
        <v>1.1738690350396237e-05</v>
      </c>
      <c r="M25" s="2">
        <f>LN(1+C25+E25)</f>
        <v>-0.020929731084332916</v>
      </c>
      <c r="N25" s="2">
        <f>LN(1+D25+E25)</f>
        <v>0.006820739066273641</v>
      </c>
      <c r="O25" s="2">
        <f>LN(1+C25+E25+Inputs!$B$7/Inputs!$B$9)</f>
        <v>-0.020919600676379838</v>
      </c>
      <c r="P25" s="2">
        <f>LN(1+D25+E25+Inputs!$B$8/Inputs!$B$9)</f>
        <v>0.006820739066273641</v>
      </c>
      <c r="Q25" s="2">
        <f>LN(1+E25+Inputs!$B$6/Inputs!$B$9)</f>
        <v>3.1579530451807096e-05</v>
      </c>
    </row>
    <row r="26" spans="1:17">
      <c r="A26" s="3">
        <v>42408</v>
      </c>
      <c r="B26" t="s">
        <v>42</v>
      </c>
      <c r="C26" s="2">
        <v>-0.02750645340644892</v>
      </c>
      <c r="D26" s="2">
        <v>0.004083650755201129</v>
      </c>
      <c r="E26" s="2">
        <v>1.181780813254917E-05</v>
      </c>
      <c r="F26" s="2">
        <f>Inputs!$E$2*C26+Inputs!$F$2*D26</f>
        <v>-0.0195549722720386</v>
      </c>
      <c r="G26" s="2">
        <f>Inputs!$E$3*C26+Inputs!$F$3*D26</f>
        <v>0.013152316928175901</v>
      </c>
      <c r="H26" s="2">
        <f>F26^2</f>
        <v>0.0003823969405601985</v>
      </c>
      <c r="I26" s="2">
        <f>G26^2</f>
        <v>0.00017298344057918238</v>
      </c>
      <c r="J26" s="2">
        <f>LN(1+F26+E26)</f>
        <v>-0.01973664702610936</v>
      </c>
      <c r="K26" s="2">
        <f>LN(1+G26+E26)</f>
        <v>0.013078240508899183</v>
      </c>
      <c r="L26" s="2">
        <f>LN(1+E26)</f>
        <v>1.1817738303230127e-05</v>
      </c>
      <c r="M26" s="2">
        <f>LN(1+C26+E26)</f>
        <v>-0.027879687410472677</v>
      </c>
      <c r="N26" s="2">
        <f>LN(1+D26+E26)</f>
        <v>0.004087104959432037</v>
      </c>
      <c r="O26" s="2">
        <f>LN(1+C26+E26+Inputs!$B$7/Inputs!$B$9)</f>
        <v>-0.0278694863517604</v>
      </c>
      <c r="P26" s="2">
        <f>LN(1+D26+E26+Inputs!$B$8/Inputs!$B$9)</f>
        <v>0.004087104959432037</v>
      </c>
      <c r="Q26" s="2">
        <f>LN(1+E26+Inputs!$B$6/Inputs!$B$9)</f>
        <v>3.165857683627882e-05</v>
      </c>
    </row>
    <row r="27" spans="1:17">
      <c r="A27" s="3">
        <v>42409</v>
      </c>
      <c r="B27" t="s">
        <v>42</v>
      </c>
      <c r="C27" s="2">
        <v>0.005999022950242463</v>
      </c>
      <c r="D27" s="2">
        <v>-0.0008789986926367787</v>
      </c>
      <c r="E27" s="2">
        <v>1.189685701637893E-05</v>
      </c>
      <c r="F27" s="2">
        <f>Inputs!$E$2*C27+Inputs!$F$2*D27</f>
        <v>0.004271819144611401</v>
      </c>
      <c r="G27" s="2">
        <f>Inputs!$E$3*C27+Inputs!$F$3*D27</f>
        <v>-0.002854505316237</v>
      </c>
      <c r="H27" s="2">
        <f>F27^2</f>
        <v>1.8248438804268477e-05</v>
      </c>
      <c r="I27" s="2">
        <f>G27^2</f>
        <v>8.148200600425294e-06</v>
      </c>
      <c r="J27" s="2">
        <f>LN(1+F27+E27)</f>
        <v>0.004274567008721844</v>
      </c>
      <c r="K27" s="2">
        <f>LN(1+G27+E27)</f>
        <v>-0.0028466563435005383</v>
      </c>
      <c r="L27" s="2">
        <f>LN(1+E27)</f>
        <v>1.1896786248927272e-05</v>
      </c>
      <c r="M27" s="2">
        <f>LN(1+C27+E27)</f>
        <v>0.005992926297818749</v>
      </c>
      <c r="N27" s="2">
        <f>LN(1+D27+E27)</f>
        <v>-0.000867477985873769</v>
      </c>
      <c r="O27" s="2">
        <f>LN(1+C27+E27+Inputs!$B$7/Inputs!$B$9)</f>
        <v>0.006002787608277903</v>
      </c>
      <c r="P27" s="2">
        <f>LN(1+D27+E27+Inputs!$B$8/Inputs!$B$9)</f>
        <v>-0.000867477985873769</v>
      </c>
      <c r="Q27" s="2">
        <f>LN(1+E27+Inputs!$B$6/Inputs!$B$9)</f>
        <v>3.1737623213614054e-05</v>
      </c>
    </row>
    <row r="28" spans="1:17">
      <c r="A28" s="3">
        <v>42410</v>
      </c>
      <c r="B28" t="s">
        <v>42</v>
      </c>
      <c r="C28" s="2">
        <v>0.02899574006347262</v>
      </c>
      <c r="D28" s="2">
        <v>-0.006940282897424831</v>
      </c>
      <c r="E28" s="2">
        <v>1.197590590020869E-05</v>
      </c>
      <c r="F28" s="2">
        <f>Inputs!$E$2*C28+Inputs!$F$2*D28</f>
        <v>0.0190324223123234</v>
      </c>
      <c r="G28" s="2">
        <f>Inputs!$E$3*C28+Inputs!$F$3*D28</f>
        <v>-0.0170270614959519</v>
      </c>
      <c r="H28" s="2">
        <f>F28^2</f>
        <v>0.0003622330990746256</v>
      </c>
      <c r="I28" s="2">
        <f>G28^2</f>
        <v>0.0002899208231869278</v>
      </c>
      <c r="J28" s="2">
        <f>LN(1+F28+E28)</f>
        <v>0.018865323672411137</v>
      </c>
      <c r="K28" s="2">
        <f>LN(1+G28+E28)</f>
        <v>-0.017161505432944535</v>
      </c>
      <c r="L28" s="2">
        <f>LN(1+E28)</f>
        <v>1.1975834189486049e-05</v>
      </c>
      <c r="M28" s="2">
        <f>LN(1+C28+E28)</f>
        <v>0.028594955336309177</v>
      </c>
      <c r="N28" s="2">
        <f>LN(1+D28+E28)</f>
        <v>-0.006952419145887536</v>
      </c>
      <c r="O28" s="2">
        <f>LN(1+C28+E28+Inputs!$B$7/Inputs!$B$9)</f>
        <v>0.028604596262168852</v>
      </c>
      <c r="P28" s="2">
        <f>LN(1+D28+E28+Inputs!$B$8/Inputs!$B$9)</f>
        <v>-0.006952419145887536</v>
      </c>
      <c r="Q28" s="2">
        <f>LN(1+E28+Inputs!$B$6/Inputs!$B$9)</f>
        <v>3.181666958581115e-05</v>
      </c>
    </row>
    <row r="29" spans="1:17">
      <c r="A29" s="3">
        <v>42411</v>
      </c>
      <c r="B29" t="s">
        <v>42</v>
      </c>
      <c r="C29" s="2">
        <v>-0.0009285407530135928</v>
      </c>
      <c r="D29" s="2">
        <v>0.0009191013755457925</v>
      </c>
      <c r="E29" s="2">
        <v>1.205495478403845E-05</v>
      </c>
      <c r="F29" s="2">
        <f>Inputs!$E$2*C29+Inputs!$F$2*D29</f>
        <v>-0.00019137177708360013</v>
      </c>
      <c r="G29" s="2">
        <f>Inputs!$E$3*C29+Inputs!$F$3*D29</f>
        <v>0.0013814838765594</v>
      </c>
      <c r="H29" s="2">
        <f>F29^2</f>
        <v>3.662315706413514e-08</v>
      </c>
      <c r="I29" s="2">
        <f>G29^2</f>
        <v>1.9084977011935873e-06</v>
      </c>
      <c r="J29" s="2">
        <f>LN(1+F29+E29)</f>
        <v>-0.00017933290148324502</v>
      </c>
      <c r="K29" s="2">
        <f>LN(1+G29+E29)</f>
        <v>0.001392568757225457</v>
      </c>
      <c r="L29" s="2">
        <f>LN(1+E29)</f>
        <v>1.2054882123574205e-05</v>
      </c>
      <c r="M29" s="2">
        <f>LN(1+C29+E29)</f>
        <v>-0.0009169060281152834</v>
      </c>
      <c r="N29" s="2">
        <f>LN(1+D29+E29)</f>
        <v>0.000930723073206822</v>
      </c>
      <c r="O29" s="2">
        <f>LN(1+C29+E29+Inputs!$B$7/Inputs!$B$9)</f>
        <v>-0.0009069763420326534</v>
      </c>
      <c r="P29" s="2">
        <f>LN(1+D29+E29+Inputs!$B$8/Inputs!$B$9)</f>
        <v>0.000930723073206822</v>
      </c>
      <c r="Q29" s="2">
        <f>LN(1+E29+Inputs!$B$6/Inputs!$B$9)</f>
        <v>3.189571595153788e-05</v>
      </c>
    </row>
    <row r="30" spans="1:17">
      <c r="A30" s="3">
        <v>42412</v>
      </c>
      <c r="B30" t="s">
        <v>42</v>
      </c>
      <c r="C30" s="2">
        <v>0.0211622210318366</v>
      </c>
      <c r="D30" s="2">
        <v>0.01485687029632104</v>
      </c>
      <c r="E30" s="2">
        <v>1.213400366786821E-05</v>
      </c>
      <c r="F30" s="2">
        <f>Inputs!$E$2*C30+Inputs!$F$2*D30</f>
        <v>0.0258438990032622</v>
      </c>
      <c r="G30" s="2">
        <f>Inputs!$E$3*C30+Inputs!$F$3*D30</f>
        <v>0.0114795780460341</v>
      </c>
      <c r="H30" s="2">
        <f>F30^2</f>
        <v>0.0006679071156908169</v>
      </c>
      <c r="I30" s="2">
        <f>G30^2</f>
        <v>0.00013178071211498811</v>
      </c>
      <c r="J30" s="2">
        <f>LN(1+F30+E30)</f>
        <v>0.02552741819629131</v>
      </c>
      <c r="K30" s="2">
        <f>LN(1+G30+E30)</f>
        <v>0.011426183869605231</v>
      </c>
      <c r="L30" s="2">
        <f>LN(1+E30)</f>
        <v>1.2133930051635831e-05</v>
      </c>
      <c r="M30" s="2">
        <f>LN(1+C30+E30)</f>
        <v>0.020953293492020977</v>
      </c>
      <c r="N30" s="2">
        <f>LN(1+D30+E30)</f>
        <v>0.014759544361851205</v>
      </c>
      <c r="O30" s="2">
        <f>LN(1+C30+E30+Inputs!$B$7/Inputs!$B$9)</f>
        <v>0.02096300837242601</v>
      </c>
      <c r="P30" s="2">
        <f>LN(1+D30+E30+Inputs!$B$8/Inputs!$B$9)</f>
        <v>0.014759544361851205</v>
      </c>
      <c r="Q30" s="2">
        <f>LN(1+E30+Inputs!$B$6/Inputs!$B$9)</f>
        <v>3.197476231123832e-05</v>
      </c>
    </row>
    <row r="31" spans="1:17">
      <c r="A31" s="3">
        <v>42416</v>
      </c>
      <c r="B31" t="s">
        <v>42</v>
      </c>
      <c r="C31" s="2">
        <v>-0.01035701817785291</v>
      </c>
      <c r="D31" s="2">
        <v>0.01349241466444103</v>
      </c>
      <c r="E31" s="2">
        <v>1.221305255169797E-05</v>
      </c>
      <c r="F31" s="2">
        <f>Inputs!$E$2*C31+Inputs!$F$2*D31</f>
        <v>-0.00019016574361780184</v>
      </c>
      <c r="G31" s="2">
        <f>Inputs!$E$3*C31+Inputs!$F$3*D31</f>
        <v>0.0192980030506851</v>
      </c>
      <c r="H31" s="2">
        <f>F31^2</f>
        <v>3.616301004571154e-08</v>
      </c>
      <c r="I31" s="2">
        <f>G31^2</f>
        <v>0.0003724129217442514</v>
      </c>
      <c r="J31" s="2">
        <f>LN(1+F31+E31)</f>
        <v>-0.00017796852652470627</v>
      </c>
      <c r="K31" s="2">
        <f>LN(1+G31+E31)</f>
        <v>0.019126139807790796</v>
      </c>
      <c r="L31" s="2">
        <f>LN(1+E31)</f>
        <v>1.2212977973226838e-05</v>
      </c>
      <c r="M31" s="2">
        <f>LN(1+C31+E31)</f>
        <v>-0.01039868452520998</v>
      </c>
      <c r="N31" s="2">
        <f>LN(1+D31+E31)</f>
        <v>0.013414252974473958</v>
      </c>
      <c r="O31" s="2">
        <f>LN(1+C31+E31+Inputs!$B$7/Inputs!$B$9)</f>
        <v>-0.010388660240743535</v>
      </c>
      <c r="P31" s="2">
        <f>LN(1+D31+E31+Inputs!$B$8/Inputs!$B$9)</f>
        <v>0.013414252974473958</v>
      </c>
      <c r="Q31" s="2">
        <f>LN(1+E31+Inputs!$B$6/Inputs!$B$9)</f>
        <v>3.2053808664468395e-05</v>
      </c>
    </row>
    <row r="32" spans="1:17">
      <c r="A32" s="3">
        <v>42417</v>
      </c>
      <c r="B32" t="s">
        <v>42</v>
      </c>
      <c r="C32" s="2">
        <v>-0.02264674015813428</v>
      </c>
      <c r="D32" s="2">
        <v>0.004035951764560965</v>
      </c>
      <c r="E32" s="2">
        <v>1.229210143552773E-05</v>
      </c>
      <c r="F32" s="2">
        <f>Inputs!$E$2*C32+Inputs!$F$2*D32</f>
        <v>-0.0156958210677706</v>
      </c>
      <c r="G32" s="2">
        <f>Inputs!$E$3*C32+Inputs!$F$3*D32</f>
        <v>0.0116371641649134</v>
      </c>
      <c r="H32" s="2">
        <f>F32^2</f>
        <v>0.0002463587989914714</v>
      </c>
      <c r="I32" s="2">
        <f>G32^2</f>
        <v>0.0001354235898011446</v>
      </c>
      <c r="J32" s="2">
        <f>LN(1+F32+E32)</f>
        <v>-0.01580781673338215</v>
      </c>
      <c r="K32" s="2">
        <f>LN(1+G32+E32)</f>
        <v>0.011582123770821434</v>
      </c>
      <c r="L32" s="2">
        <f>LN(1+E32)</f>
        <v>1.2292025888791316e-05</v>
      </c>
      <c r="M32" s="2">
        <f>LN(1+C32+E32)</f>
        <v>-0.02289453935149071</v>
      </c>
      <c r="N32" s="2">
        <f>LN(1+D32+E32)</f>
        <v>0.004040071774453017</v>
      </c>
      <c r="O32" s="2">
        <f>LN(1+C32+E32+Inputs!$B$7/Inputs!$B$9)</f>
        <v>-0.022884389019762565</v>
      </c>
      <c r="P32" s="2">
        <f>LN(1+D32+E32+Inputs!$B$8/Inputs!$B$9)</f>
        <v>0.004040071774453017</v>
      </c>
      <c r="Q32" s="2">
        <f>LN(1+E32+Inputs!$B$6/Inputs!$B$9)</f>
        <v>3.2132855011672184e-05</v>
      </c>
    </row>
    <row r="33" spans="1:17">
      <c r="A33" s="3">
        <v>42418</v>
      </c>
      <c r="B33" t="s">
        <v>42</v>
      </c>
      <c r="C33" s="2">
        <v>0.02761421359544784</v>
      </c>
      <c r="D33" s="2">
        <v>-0.004323829218350333</v>
      </c>
      <c r="E33" s="2">
        <v>1.237115031935749E-05</v>
      </c>
      <c r="F33" s="2">
        <f>Inputs!$E$2*C33+Inputs!$F$2*D33</f>
        <v>0.019497073345348403</v>
      </c>
      <c r="G33" s="2">
        <f>Inputs!$E$3*C33+Inputs!$F$3*D33</f>
        <v>-0.013472859140654398</v>
      </c>
      <c r="H33" s="2">
        <f>F33^2</f>
        <v>0.00038013586903389517</v>
      </c>
      <c r="I33" s="2">
        <f>G33^2</f>
        <v>0.00018151793342391476</v>
      </c>
      <c r="J33" s="2">
        <f>LN(1+F33+E33)</f>
        <v>0.019321574840044667</v>
      </c>
      <c r="K33" s="2">
        <f>LN(1+G33+E33)</f>
        <v>-0.013551901600152287</v>
      </c>
      <c r="L33" s="2">
        <f>LN(1+E33)</f>
        <v>1.237107379699701e-05</v>
      </c>
      <c r="M33" s="2">
        <f>LN(1+C33+E33)</f>
        <v>0.027251856633009348</v>
      </c>
      <c r="N33" s="2">
        <f>LN(1+D33+E33)</f>
        <v>-0.0043207792048088455</v>
      </c>
      <c r="O33" s="2">
        <f>LN(1+C33+E33+Inputs!$B$7/Inputs!$B$9)</f>
        <v>0.027261510516221093</v>
      </c>
      <c r="P33" s="2">
        <f>LN(1+D33+E33+Inputs!$B$8/Inputs!$B$9)</f>
        <v>-0.0043207792048088455</v>
      </c>
      <c r="Q33" s="2">
        <f>LN(1+E33+Inputs!$B$6/Inputs!$B$9)</f>
        <v>3.221190135151746e-05</v>
      </c>
    </row>
    <row r="34" spans="1:17">
      <c r="A34" s="3">
        <v>42419</v>
      </c>
      <c r="B34" t="s">
        <v>42</v>
      </c>
      <c r="C34" s="2">
        <v>0.03197270354723272</v>
      </c>
      <c r="D34" s="2">
        <v>0.0005036468593765558</v>
      </c>
      <c r="E34" s="2">
        <v>1.245019920318725E-05</v>
      </c>
      <c r="F34" s="2">
        <f>Inputs!$E$2*C34+Inputs!$F$2*D34</f>
        <v>0.025880350953412602</v>
      </c>
      <c r="G34" s="2">
        <f>Inputs!$E$3*C34+Inputs!$F$3*D34</f>
        <v>-0.0089874348329175</v>
      </c>
      <c r="H34" s="2">
        <f>F34^2</f>
        <v>0.0006697925654718046</v>
      </c>
      <c r="I34" s="2">
        <f>G34^2</f>
        <v>8.07739848759388e-05</v>
      </c>
      <c r="J34" s="2">
        <f>LN(1+F34+E34)</f>
        <v>0.02556325898252909</v>
      </c>
      <c r="K34" s="2">
        <f>LN(1+G34+E34)</f>
        <v>-0.009015502421508278</v>
      </c>
      <c r="L34" s="2">
        <f>LN(1+E34)</f>
        <v>1.2450121699842303e-05</v>
      </c>
      <c r="M34" s="2">
        <f>LN(1+C34+E34)</f>
        <v>0.031484281051276555</v>
      </c>
      <c r="N34" s="2">
        <f>LN(1+D34+E34)</f>
        <v>0.0005159639262972356</v>
      </c>
      <c r="O34" s="2">
        <f>LN(1+C34+E34+Inputs!$B$7/Inputs!$B$9)</f>
        <v>0.03149389416169839</v>
      </c>
      <c r="P34" s="2">
        <f>LN(1+D34+E34+Inputs!$B$8/Inputs!$B$9)</f>
        <v>0.0005159639262972356</v>
      </c>
      <c r="Q34" s="2">
        <f>LN(1+E34+Inputs!$B$6/Inputs!$B$9)</f>
        <v>3.2290947686002566e-05</v>
      </c>
    </row>
    <row r="35" spans="1:17">
      <c r="A35" s="3">
        <v>42422</v>
      </c>
      <c r="B35" t="s">
        <v>42</v>
      </c>
      <c r="C35" s="2">
        <v>0.03291431983426951</v>
      </c>
      <c r="D35" s="2">
        <v>-0.005454538276581961</v>
      </c>
      <c r="E35" s="2">
        <v>1.252924808701701E-05</v>
      </c>
      <c r="F35" s="2">
        <f>Inputs!$E$2*C35+Inputs!$F$2*D35</f>
        <v>0.023058732901466802</v>
      </c>
      <c r="G35" s="2">
        <f>Inputs!$E$3*C35+Inputs!$F$3*D35</f>
        <v>-0.0164197418821794</v>
      </c>
      <c r="H35" s="2">
        <f>F35^2</f>
        <v>0.0005317051630211876</v>
      </c>
      <c r="I35" s="2">
        <f>G35^2</f>
        <v>0.00026960792347739633</v>
      </c>
      <c r="J35" s="2">
        <f>LN(1+F35+E35)</f>
        <v>0.022809144513584793</v>
      </c>
      <c r="K35" s="2">
        <f>LN(1+G35+E35)</f>
        <v>-0.016543301560531905</v>
      </c>
      <c r="L35" s="2">
        <f>LN(1+E35)</f>
        <v>1.2529169596661064e-05</v>
      </c>
      <c r="M35" s="2">
        <f>LN(1+C35+E35)</f>
        <v>0.03239637357620267</v>
      </c>
      <c r="N35" s="2">
        <f>LN(1+D35+E35)</f>
        <v>-0.0054568707023936605</v>
      </c>
      <c r="O35" s="2">
        <f>LN(1+C35+E35+Inputs!$B$7/Inputs!$B$9)</f>
        <v>0.03240597792261785</v>
      </c>
      <c r="P35" s="2">
        <f>LN(1+D35+E35+Inputs!$B$8/Inputs!$B$9)</f>
        <v>-0.0054568707023936605</v>
      </c>
      <c r="Q35" s="2">
        <f>LN(1+E35+Inputs!$B$6/Inputs!$B$9)</f>
        <v>3.236999401446138e-05</v>
      </c>
    </row>
    <row r="36" spans="1:17">
      <c r="A36" s="3">
        <v>42423</v>
      </c>
      <c r="B36" t="s">
        <v>42</v>
      </c>
      <c r="C36" s="2">
        <v>-0.009562342636336124</v>
      </c>
      <c r="D36" s="2">
        <v>-0.009509951985644118</v>
      </c>
      <c r="E36" s="2">
        <v>1.260829697084677E-05</v>
      </c>
      <c r="F36" s="2">
        <f>Inputs!$E$2*C36+Inputs!$F$2*D36</f>
        <v>-0.0133558453004552</v>
      </c>
      <c r="G36" s="2">
        <f>Inputs!$E$3*C36+Inputs!$F$3*D36</f>
        <v>-0.008543239591872</v>
      </c>
      <c r="H36" s="2">
        <f>F36^2</f>
        <v>0.00017837860368969126</v>
      </c>
      <c r="I36" s="2">
        <f>G36^2</f>
        <v>7.298694272412927e-05</v>
      </c>
      <c r="J36" s="2">
        <f>LN(1+F36+E36)</f>
        <v>-0.013433057886048011</v>
      </c>
      <c r="K36" s="2">
        <f>LN(1+G36+E36)</f>
        <v>-0.0085672253925039</v>
      </c>
      <c r="L36" s="2">
        <f>LN(1+E36)</f>
        <v>1.2608217487009215e-05</v>
      </c>
      <c r="M36" s="2">
        <f>LN(1+C36+E36)</f>
        <v>-0.009595625451326384</v>
      </c>
      <c r="N36" s="2">
        <f>LN(1+D36+E36)</f>
        <v>-0.00954273105881136</v>
      </c>
      <c r="O36" s="2">
        <f>LN(1+C36+E36+Inputs!$B$7/Inputs!$B$9)</f>
        <v>-0.009585609213680756</v>
      </c>
      <c r="P36" s="2">
        <f>LN(1+D36+E36+Inputs!$B$8/Inputs!$B$9)</f>
        <v>-0.00954273105881136</v>
      </c>
      <c r="Q36" s="2">
        <f>LN(1+E36+Inputs!$B$6/Inputs!$B$9)</f>
        <v>3.2449040336449845e-05</v>
      </c>
    </row>
    <row r="37" spans="1:17">
      <c r="A37" s="3">
        <v>42424</v>
      </c>
      <c r="B37" t="s">
        <v>42</v>
      </c>
      <c r="C37" s="2">
        <v>-0.02464703965992143</v>
      </c>
      <c r="D37" s="2">
        <v>-0.006712753495392614</v>
      </c>
      <c r="E37" s="2">
        <v>1.268734585467653E-05</v>
      </c>
      <c r="F37" s="2">
        <f>Inputs!$E$2*C37+Inputs!$F$2*D37</f>
        <v>-0.0237452838251726</v>
      </c>
      <c r="G37" s="2">
        <f>Inputs!$E$3*C37+Inputs!$F$3*D37</f>
        <v>-0.0006611922964953002</v>
      </c>
      <c r="H37" s="2">
        <f>F37^2</f>
        <v>0.0005638385039380035</v>
      </c>
      <c r="I37" s="2">
        <f>G37^2</f>
        <v>4.3717525294472897e-07</v>
      </c>
      <c r="J37" s="2">
        <f>LN(1+F37+E37)</f>
        <v>-0.02401875107734887</v>
      </c>
      <c r="K37" s="2">
        <f>LN(1+G37+E37)</f>
        <v>-0.0006487153209314858</v>
      </c>
      <c r="L37" s="2">
        <f>LN(1+E37)</f>
        <v>1.268726537133084e-05</v>
      </c>
      <c r="M37" s="2">
        <f>LN(1+C37+E37)</f>
        <v>-0.024942855020314403</v>
      </c>
      <c r="N37" s="2">
        <f>LN(1+D37+E37)</f>
        <v>-0.006722612356558374</v>
      </c>
      <c r="O37" s="2">
        <f>LN(1+C37+E37+Inputs!$B$7/Inputs!$B$9)</f>
        <v>-0.02493268387630068</v>
      </c>
      <c r="P37" s="2">
        <f>LN(1+D37+E37+Inputs!$B$8/Inputs!$B$9)</f>
        <v>-0.006722612356558374</v>
      </c>
      <c r="Q37" s="2">
        <f>LN(1+E37+Inputs!$B$6/Inputs!$B$9)</f>
        <v>3.2528086652412016e-05</v>
      </c>
    </row>
    <row r="38" spans="1:17">
      <c r="A38" s="3">
        <v>42425</v>
      </c>
      <c r="B38" t="s">
        <v>42</v>
      </c>
      <c r="C38" s="2">
        <v>-0.02519699847780486</v>
      </c>
      <c r="D38" s="2">
        <v>0.005268111771860222</v>
      </c>
      <c r="E38" s="2">
        <v>1.276639473850629E-05</v>
      </c>
      <c r="F38" s="2">
        <f>Inputs!$E$2*C38+Inputs!$F$2*D38</f>
        <v>-0.016996731719128</v>
      </c>
      <c r="G38" s="2">
        <f>Inputs!$E$3*C38+Inputs!$F$3*D38</f>
        <v>0.0138808336695735</v>
      </c>
      <c r="H38" s="2">
        <f>F38^2</f>
        <v>0.0002888888891320119</v>
      </c>
      <c r="I38" s="2">
        <f>G38^2</f>
        <v>0.0001926775433623653</v>
      </c>
      <c r="J38" s="2">
        <f>LN(1+F38+E38)</f>
        <v>-0.017129846988750943</v>
      </c>
      <c r="K38" s="2">
        <f>LN(1+G38+E38)</f>
        <v>0.013797968760314094</v>
      </c>
      <c r="L38" s="2">
        <f>LN(1+E38)</f>
        <v>1.2766313249181856e-05</v>
      </c>
      <c r="M38" s="2">
        <f>LN(1+C38+E38)</f>
        <v>-0.025506781821352496</v>
      </c>
      <c r="N38" s="2">
        <f>LN(1+D38+E38)</f>
        <v>0.005266983226350886</v>
      </c>
      <c r="O38" s="2">
        <f>LN(1+C38+E38+Inputs!$B$7/Inputs!$B$9)</f>
        <v>-0.025496604939969678</v>
      </c>
      <c r="P38" s="2">
        <f>LN(1+D38+E38+Inputs!$B$8/Inputs!$B$9)</f>
        <v>0.005266983226350886</v>
      </c>
      <c r="Q38" s="2">
        <f>LN(1+E38+Inputs!$B$6/Inputs!$B$9)</f>
        <v>3.260713296190384e-05</v>
      </c>
    </row>
    <row r="39" spans="1:17">
      <c r="A39" s="3">
        <v>42426</v>
      </c>
      <c r="B39" t="s">
        <v>42</v>
      </c>
      <c r="C39" s="2">
        <v>-0.00470168238889363</v>
      </c>
      <c r="D39" s="2">
        <v>0.002871395659214545</v>
      </c>
      <c r="E39" s="2">
        <v>1.284544362233605E-05</v>
      </c>
      <c r="F39" s="2">
        <f>Inputs!$E$2*C39+Inputs!$F$2*D39</f>
        <v>-0.0020385085155862</v>
      </c>
      <c r="G39" s="2">
        <f>Inputs!$E$3*C39+Inputs!$F$3*D39</f>
        <v>0.0048561795077262</v>
      </c>
      <c r="H39" s="2">
        <f>F39^2</f>
        <v>4.155516968117453e-06</v>
      </c>
      <c r="I39" s="2">
        <f>G39^2</f>
        <v>2.358247941125988e-05</v>
      </c>
      <c r="J39" s="2">
        <f>LN(1+F39+E39)</f>
        <v>-0.002027717502262625</v>
      </c>
      <c r="K39" s="2">
        <f>LN(1+G39+E39)</f>
        <v>0.004857209586708373</v>
      </c>
      <c r="L39" s="2">
        <f>LN(1+E39)</f>
        <v>1.2845361119896137e-05</v>
      </c>
      <c r="M39" s="2">
        <f>LN(1+C39+E39)</f>
        <v>-0.004699864024173896</v>
      </c>
      <c r="N39" s="2">
        <f>LN(1+D39+E39)</f>
        <v>0.0028800896600595207</v>
      </c>
      <c r="O39" s="2">
        <f>LN(1+C39+E39+Inputs!$B$7/Inputs!$B$9)</f>
        <v>-0.004689896703553048</v>
      </c>
      <c r="P39" s="2">
        <f>LN(1+D39+E39+Inputs!$B$8/Inputs!$B$9)</f>
        <v>0.0028800896600595207</v>
      </c>
      <c r="Q39" s="2">
        <f>LN(1+E39+Inputs!$B$6/Inputs!$B$9)</f>
        <v>3.268617926425919e-05</v>
      </c>
    </row>
    <row r="40" spans="1:17">
      <c r="A40" s="3">
        <v>42429</v>
      </c>
      <c r="B40" t="s">
        <v>42</v>
      </c>
      <c r="C40" s="2">
        <v>0.01250095426234511</v>
      </c>
      <c r="D40" s="2">
        <v>0.00184017321493877</v>
      </c>
      <c r="E40" s="2">
        <v>1.292449250616581E-05</v>
      </c>
      <c r="F40" s="2">
        <f>Inputs!$E$2*C40+Inputs!$F$2*D40</f>
        <v>0.0111048673388394</v>
      </c>
      <c r="G40" s="2">
        <f>Inputs!$E$3*C40+Inputs!$F$3*D40</f>
        <v>-0.0015420784207766996</v>
      </c>
      <c r="H40" s="2">
        <f>F40^2</f>
        <v>0.00012331807861322205</v>
      </c>
      <c r="I40" s="2">
        <f>G40^2</f>
        <v>2.3780058558251597e-06</v>
      </c>
      <c r="J40" s="2">
        <f>LN(1+F40+E40)</f>
        <v>0.01105644347048307</v>
      </c>
      <c r="K40" s="2">
        <f>LN(1+G40+E40)</f>
        <v>-0.0015303242773869862</v>
      </c>
      <c r="L40" s="2">
        <f>LN(1+E40)</f>
        <v>1.2924408985472063e-05</v>
      </c>
      <c r="M40" s="2">
        <f>LN(1+C40+E40)</f>
        <v>0.012436227316810058</v>
      </c>
      <c r="N40" s="2">
        <f>LN(1+D40+E40)</f>
        <v>0.0018513828401058943</v>
      </c>
      <c r="O40" s="2">
        <f>LN(1+C40+E40+Inputs!$B$7/Inputs!$B$9)</f>
        <v>0.012446025292450529</v>
      </c>
      <c r="P40" s="2">
        <f>LN(1+D40+E40+Inputs!$B$8/Inputs!$B$9)</f>
        <v>0.0018513828401058943</v>
      </c>
      <c r="Q40" s="2">
        <f>LN(1+E40+Inputs!$B$6/Inputs!$B$9)</f>
        <v>3.276522556147641e-05</v>
      </c>
    </row>
    <row r="41" spans="1:17">
      <c r="A41" s="3">
        <v>42430</v>
      </c>
      <c r="B41" t="s">
        <v>43</v>
      </c>
      <c r="C41" s="2">
        <v>0.01063201670696488</v>
      </c>
      <c r="D41" s="2">
        <v>-0.007130936538976889</v>
      </c>
      <c r="E41" s="2">
        <v>1.300354138999557E-05</v>
      </c>
      <c r="F41" s="2">
        <f>Inputs!$E$2*C41+Inputs!$F$2*D41</f>
        <v>0.0042270514421858</v>
      </c>
      <c r="G41" s="2">
        <f>Inputs!$E$3*C41+Inputs!$F$3*D41</f>
        <v>-0.0117467288588619</v>
      </c>
      <c r="H41" s="2">
        <f>F41^2</f>
        <v>1.786796389488505e-05</v>
      </c>
      <c r="I41" s="2">
        <f>G41^2</f>
        <v>0.000137985638883619</v>
      </c>
      <c r="J41" s="2">
        <f>LN(1+F41+E41)</f>
        <v>0.004231091279244286</v>
      </c>
      <c r="K41" s="2">
        <f>LN(1+G41+E41)</f>
        <v>-0.011803108757254748</v>
      </c>
      <c r="L41" s="2">
        <f>LN(1+E41)</f>
        <v>1.3003456844799423e-05</v>
      </c>
      <c r="M41" s="2">
        <f>LN(1+C41+E41)</f>
        <v>0.010588760922576849</v>
      </c>
      <c r="N41" s="2">
        <f>LN(1+D41+E41)</f>
        <v>-0.007143386338031248</v>
      </c>
      <c r="O41" s="2">
        <f>LN(1+C41+E41+Inputs!$B$7/Inputs!$B$9)</f>
        <v>0.010598577016290316</v>
      </c>
      <c r="P41" s="2">
        <f>LN(1+D41+E41+Inputs!$B$8/Inputs!$B$9)</f>
        <v>-0.007143386338031248</v>
      </c>
      <c r="Q41" s="2">
        <f>LN(1+E41+Inputs!$B$6/Inputs!$B$9)</f>
        <v>3.284427185244531e-05</v>
      </c>
    </row>
    <row r="42" spans="1:17">
      <c r="A42" s="3">
        <v>42431</v>
      </c>
      <c r="B42" t="s">
        <v>43</v>
      </c>
      <c r="C42" s="2">
        <v>-0.02805758330696026</v>
      </c>
      <c r="D42" s="2">
        <v>-0.009337584623693605</v>
      </c>
      <c r="E42" s="2">
        <v>1.308259027382534E-05</v>
      </c>
      <c r="F42" s="2">
        <f>Inputs!$E$2*C42+Inputs!$F$2*D42</f>
        <v>-0.028048617419784403</v>
      </c>
      <c r="G42" s="2">
        <f>Inputs!$E$3*C42+Inputs!$F$3*D42</f>
        <v>-0.0027878265563448003</v>
      </c>
      <c r="H42" s="2">
        <f>F42^2</f>
        <v>0.000786724939161433</v>
      </c>
      <c r="I42" s="2">
        <f>G42^2</f>
        <v>7.771976908261307e-06</v>
      </c>
      <c r="J42" s="2">
        <f>LN(1+F42+E42)</f>
        <v>-0.028436033656549467</v>
      </c>
      <c r="K42" s="2">
        <f>LN(1+G42+E42)</f>
        <v>-0.00277860070406852</v>
      </c>
      <c r="L42" s="2">
        <f>LN(1+E42)</f>
        <v>1.3082504697656178e-05</v>
      </c>
      <c r="M42" s="2">
        <f>LN(1+C42+E42)</f>
        <v>-0.028445258200089935</v>
      </c>
      <c r="N42" s="2">
        <f>LN(1+D42+E42)</f>
        <v>-0.009368247350399594</v>
      </c>
      <c r="O42" s="2">
        <f>LN(1+C42+E42+Inputs!$B$7/Inputs!$B$9)</f>
        <v>-0.028435051370354465</v>
      </c>
      <c r="P42" s="2">
        <f>LN(1+D42+E42+Inputs!$B$8/Inputs!$B$9)</f>
        <v>-0.009368247350399594</v>
      </c>
      <c r="Q42" s="2">
        <f>LN(1+E42+Inputs!$B$6/Inputs!$B$9)</f>
        <v>3.292331813694386e-05</v>
      </c>
    </row>
    <row r="43" spans="1:17">
      <c r="A43" s="3">
        <v>42432</v>
      </c>
      <c r="B43" t="s">
        <v>43</v>
      </c>
      <c r="C43" s="2">
        <v>0.004235313097973525</v>
      </c>
      <c r="D43" s="2">
        <v>0.007837397585766905</v>
      </c>
      <c r="E43" s="2">
        <v>1.316163915765509E-05</v>
      </c>
      <c r="F43" s="2">
        <f>Inputs!$E$2*C43+Inputs!$F$2*D43</f>
        <v>0.0080906890298394</v>
      </c>
      <c r="G43" s="2">
        <f>Inputs!$E$3*C43+Inputs!$F$3*D43</f>
        <v>0.008134283173528201</v>
      </c>
      <c r="H43" s="2">
        <f>F43^2</f>
        <v>6.545924897756361e-05</v>
      </c>
      <c r="I43" s="2">
        <f>G43^2</f>
        <v>6.616656274714403e-05</v>
      </c>
      <c r="J43" s="2">
        <f>LN(1+F43+E43)</f>
        <v>0.00807119079965464</v>
      </c>
      <c r="K43" s="2">
        <f>LN(1+G43+E43)</f>
        <v>0.008114433567848679</v>
      </c>
      <c r="L43" s="2">
        <f>LN(1+E43)</f>
        <v>1.3161552544486412e-05</v>
      </c>
      <c r="M43" s="2">
        <f>LN(1+C43+E43)</f>
        <v>0.004239475448166937</v>
      </c>
      <c r="N43" s="2">
        <f>LN(1+D43+E43)</f>
        <v>0.007819903921179606</v>
      </c>
      <c r="O43" s="2">
        <f>LN(1+C43+E43+Inputs!$B$7/Inputs!$B$9)</f>
        <v>0.00424935406503242</v>
      </c>
      <c r="P43" s="2">
        <f>LN(1+D43+E43+Inputs!$B$8/Inputs!$B$9)</f>
        <v>0.007819903921179606</v>
      </c>
      <c r="Q43" s="2">
        <f>LN(1+E43+Inputs!$B$6/Inputs!$B$9)</f>
        <v>3.300236441541614e-05</v>
      </c>
    </row>
    <row r="44" spans="1:17">
      <c r="A44" s="3">
        <v>42433</v>
      </c>
      <c r="B44" t="s">
        <v>43</v>
      </c>
      <c r="C44" s="2">
        <v>0.0005856534656650085</v>
      </c>
      <c r="D44" s="2">
        <v>-0.002111309450538725</v>
      </c>
      <c r="E44" s="2">
        <v>1.324068804148485E-05</v>
      </c>
      <c r="F44" s="2">
        <f>Inputs!$E$2*C44+Inputs!$F$2*D44</f>
        <v>-0.0007982628977913997</v>
      </c>
      <c r="G44" s="2">
        <f>Inputs!$E$3*C44+Inputs!$F$3*D44</f>
        <v>-0.0027092673803462996</v>
      </c>
      <c r="H44" s="2">
        <f>F44^2</f>
        <v>6.372236539903226e-07</v>
      </c>
      <c r="I44" s="2">
        <f>G44^2</f>
        <v>7.340129738208501e-06</v>
      </c>
      <c r="J44" s="2">
        <f>LN(1+F44+E44)</f>
        <v>-0.0007853305010395405</v>
      </c>
      <c r="K44" s="2">
        <f>LN(1+G44+E44)</f>
        <v>-0.0026996675175818318</v>
      </c>
      <c r="L44" s="2">
        <f>LN(1+E44)</f>
        <v>1.3240600383957877e-05</v>
      </c>
      <c r="M44" s="2">
        <f>LN(1+C44+E44)</f>
        <v>0.000598714888172875</v>
      </c>
      <c r="N44" s="2">
        <f>LN(1+D44+E44)</f>
        <v>-0.002100272792107429</v>
      </c>
      <c r="O44" s="2">
        <f>LN(1+C44+E44+Inputs!$B$7/Inputs!$B$9)</f>
        <v>0.0006086295360891501</v>
      </c>
      <c r="P44" s="2">
        <f>LN(1+D44+E44+Inputs!$B$8/Inputs!$B$9)</f>
        <v>-0.002100272792107429</v>
      </c>
      <c r="Q44" s="2">
        <f>LN(1+E44+Inputs!$B$6/Inputs!$B$9)</f>
        <v>3.3081410686529906e-05</v>
      </c>
    </row>
    <row r="45" spans="1:17">
      <c r="A45" s="3">
        <v>42436</v>
      </c>
      <c r="B45" t="s">
        <v>43</v>
      </c>
      <c r="C45" s="2">
        <v>0.001926571838794134</v>
      </c>
      <c r="D45" s="2">
        <v>0.008820128490706562</v>
      </c>
      <c r="E45" s="2">
        <v>1.331973692531461E-05</v>
      </c>
      <c r="F45" s="2">
        <f>Inputs!$E$2*C45+Inputs!$F$2*D45</f>
        <v>0.0068333345654594</v>
      </c>
      <c r="G45" s="2">
        <f>Inputs!$E$3*C45+Inputs!$F$3*D45</f>
        <v>0.010006182637210198</v>
      </c>
      <c r="H45" s="2">
        <f>F45^2</f>
        <v>4.6694461283502203e-05</v>
      </c>
      <c r="I45" s="2">
        <f>G45^2</f>
        <v>0.00010012369096920684</v>
      </c>
      <c r="J45" s="2">
        <f>LN(1+F45+E45)</f>
        <v>0.006823322401248988</v>
      </c>
      <c r="K45" s="2">
        <f>LN(1+G45+E45)</f>
        <v>0.00996963994806827</v>
      </c>
      <c r="L45" s="2">
        <f>LN(1+E45)</f>
        <v>1.3319648218068947e-05</v>
      </c>
      <c r="M45" s="2">
        <f>LN(1+C45+E45)</f>
        <v>0.0019380124159079008</v>
      </c>
      <c r="N45" s="2">
        <f>LN(1+D45+E45)</f>
        <v>0.008794661569774168</v>
      </c>
      <c r="O45" s="2">
        <f>LN(1+C45+E45+Inputs!$B$7/Inputs!$B$9)</f>
        <v>0.0019479137941145</v>
      </c>
      <c r="P45" s="2">
        <f>LN(1+D45+E45+Inputs!$B$8/Inputs!$B$9)</f>
        <v>0.008794661569774168</v>
      </c>
      <c r="Q45" s="2">
        <f>LN(1+E45+Inputs!$B$6/Inputs!$B$9)</f>
        <v>3.316045695228352e-05</v>
      </c>
    </row>
    <row r="46" spans="1:17">
      <c r="A46" s="3">
        <v>42437</v>
      </c>
      <c r="B46" t="s">
        <v>43</v>
      </c>
      <c r="C46" s="2">
        <v>-0.0001864090874062866</v>
      </c>
      <c r="D46" s="2">
        <v>-0.004842551104629004</v>
      </c>
      <c r="E46" s="2">
        <v>1.339878580914438E-05</v>
      </c>
      <c r="F46" s="2">
        <f>Inputs!$E$2*C46+Inputs!$F$2*D46</f>
        <v>-0.0030546579327022003</v>
      </c>
      <c r="G46" s="2">
        <f>Inputs!$E$3*C46+Inputs!$F$3*D46</f>
        <v>-0.005755138599333001</v>
      </c>
      <c r="H46" s="2">
        <f>F46^2</f>
        <v>9.33093508582048e-06</v>
      </c>
      <c r="I46" s="2">
        <f>G46^2</f>
        <v>3.3121620297532614e-05</v>
      </c>
      <c r="J46" s="2">
        <f>LN(1+F46+E46)</f>
        <v>-0.0030458931733945618</v>
      </c>
      <c r="K46" s="2">
        <f>LN(1+G46+E46)</f>
        <v>-0.005758286971617852</v>
      </c>
      <c r="L46" s="2">
        <f>LN(1+E46)</f>
        <v>1.3398696046153499e-05</v>
      </c>
      <c r="M46" s="2">
        <f>LN(1+C46+E46)</f>
        <v>-0.00017302526960566596</v>
      </c>
      <c r="N46" s="2">
        <f>LN(1+D46+E46)</f>
        <v>-0.004840850351127567</v>
      </c>
      <c r="O46" s="2">
        <f>LN(1+C46+E46+Inputs!$B$7/Inputs!$B$9)</f>
        <v>-0.0001631029672421616</v>
      </c>
      <c r="P46" s="2">
        <f>LN(1+D46+E46+Inputs!$B$8/Inputs!$B$9)</f>
        <v>-0.004840850351127567</v>
      </c>
      <c r="Q46" s="2">
        <f>LN(1+E46+Inputs!$B$6/Inputs!$B$9)</f>
        <v>3.323950321201086e-05</v>
      </c>
    </row>
    <row r="47" spans="1:17">
      <c r="A47" s="3">
        <v>42438</v>
      </c>
      <c r="B47" t="s">
        <v>43</v>
      </c>
      <c r="C47" s="2">
        <v>-0.003220097746261359</v>
      </c>
      <c r="D47" s="2">
        <v>0.007349670936231078</v>
      </c>
      <c r="E47" s="2">
        <v>1.347783469297414E-05</v>
      </c>
      <c r="F47" s="2">
        <f>Inputs!$E$2*C47+Inputs!$F$2*D47</f>
        <v>0.0018337243647297999</v>
      </c>
      <c r="G47" s="2">
        <f>Inputs!$E$3*C47+Inputs!$F$3*D47</f>
        <v>0.0097856344473555</v>
      </c>
      <c r="H47" s="2">
        <f>F47^2</f>
        <v>3.3625450458037083e-06</v>
      </c>
      <c r="I47" s="2">
        <f>G47^2</f>
        <v>9.575864153727057e-05</v>
      </c>
      <c r="J47" s="2">
        <f>LN(1+F47+E47)</f>
        <v>0.0018454982195141776</v>
      </c>
      <c r="K47" s="2">
        <f>LN(1+G47+E47)</f>
        <v>0.009751412339547197</v>
      </c>
      <c r="L47" s="2">
        <f>LN(1+E47)</f>
        <v>1.3477743867767452e-05</v>
      </c>
      <c r="M47" s="2">
        <f>LN(1+C47+E47)</f>
        <v>-0.0032117721342915166</v>
      </c>
      <c r="N47" s="2">
        <f>LN(1+D47+E47)</f>
        <v>0.007336173127198266</v>
      </c>
      <c r="O47" s="2">
        <f>LN(1+C47+E47+Inputs!$B$7/Inputs!$B$9)</f>
        <v>-0.003201819634855462</v>
      </c>
      <c r="P47" s="2">
        <f>LN(1+D47+E47+Inputs!$B$8/Inputs!$B$9)</f>
        <v>0.007336173127198266</v>
      </c>
      <c r="Q47" s="2">
        <f>LN(1+E47+Inputs!$B$6/Inputs!$B$9)</f>
        <v>3.331854946526784e-05</v>
      </c>
    </row>
    <row r="48" spans="1:17">
      <c r="A48" s="3">
        <v>42439</v>
      </c>
      <c r="B48" t="s">
        <v>43</v>
      </c>
      <c r="C48" s="2">
        <v>0.009971457545535472</v>
      </c>
      <c r="D48" s="2">
        <v>0.002181622427448345</v>
      </c>
      <c r="E48" s="2">
        <v>1.35568835768039E-05</v>
      </c>
      <c r="F48" s="2">
        <f>Inputs!$E$2*C48+Inputs!$F$2*D48</f>
        <v>0.0092861394928968</v>
      </c>
      <c r="G48" s="2">
        <f>Inputs!$E$3*C48+Inputs!$F$3*D48</f>
        <v>-0.00037349035072290013</v>
      </c>
      <c r="H48" s="2">
        <f>F48^2</f>
        <v>8.623238668153764e-05</v>
      </c>
      <c r="I48" s="2">
        <f>G48^2</f>
        <v>1.3949504208311496e-07</v>
      </c>
      <c r="J48" s="2">
        <f>LN(1+F48+E48)</f>
        <v>0.009256720436785647</v>
      </c>
      <c r="K48" s="2">
        <f>LN(1+G48+E48)</f>
        <v>-0.0003599982587438739</v>
      </c>
      <c r="L48" s="2">
        <f>LN(1+E48)</f>
        <v>1.3556791683354888e-05</v>
      </c>
      <c r="M48" s="2">
        <f>LN(1+C48+E48)</f>
        <v>0.009935493544196787</v>
      </c>
      <c r="N48" s="2">
        <f>LN(1+D48+E48)</f>
        <v>0.0021927734251785355</v>
      </c>
      <c r="O48" s="2">
        <f>LN(1+C48+E48+Inputs!$B$7/Inputs!$B$9)</f>
        <v>0.009945316052507562</v>
      </c>
      <c r="P48" s="2">
        <f>LN(1+D48+E48+Inputs!$B$8/Inputs!$B$9)</f>
        <v>0.0021927734251785355</v>
      </c>
      <c r="Q48" s="2">
        <f>LN(1+E48+Inputs!$B$6/Inputs!$B$9)</f>
        <v>3.3397595712498555e-05</v>
      </c>
    </row>
    <row r="49" spans="1:17">
      <c r="A49" s="3">
        <v>42440</v>
      </c>
      <c r="B49" t="s">
        <v>43</v>
      </c>
      <c r="C49" s="2">
        <v>0.002259115979210495</v>
      </c>
      <c r="D49" s="2">
        <v>-0.002468198217806473</v>
      </c>
      <c r="E49" s="2">
        <v>1.363593246063366E-05</v>
      </c>
      <c r="F49" s="2">
        <f>Inputs!$E$2*C49+Inputs!$F$2*D49</f>
        <v>0.00032637385268440033</v>
      </c>
      <c r="G49" s="2">
        <f>Inputs!$E$3*C49+Inputs!$F$3*D49</f>
        <v>-0.0036395726551301994</v>
      </c>
      <c r="H49" s="2">
        <f>F49^2</f>
        <v>1.0651989171605864e-07</v>
      </c>
      <c r="I49" s="2">
        <f>G49^2</f>
        <v>1.324648911197149e-05</v>
      </c>
      <c r="J49" s="2">
        <f>LN(1+F49+E49)</f>
        <v>0.00033995199491749454</v>
      </c>
      <c r="K49" s="2">
        <f>LN(1+G49+E49)</f>
        <v>-0.0036325263651344857</v>
      </c>
      <c r="L49" s="2">
        <f>LN(1+E49)</f>
        <v>1.3635839492471726e-05</v>
      </c>
      <c r="M49" s="2">
        <f>LN(1+C49+E49)</f>
        <v>0.0022701731176119288</v>
      </c>
      <c r="N49" s="2">
        <f>LN(1+D49+E49)</f>
        <v>-0.0024575796619217883</v>
      </c>
      <c r="O49" s="2">
        <f>LN(1+C49+E49+Inputs!$B$7/Inputs!$B$9)</f>
        <v>0.0022800712075322213</v>
      </c>
      <c r="P49" s="2">
        <f>LN(1+D49+E49+Inputs!$B$8/Inputs!$B$9)</f>
        <v>-0.0024575796619217883</v>
      </c>
      <c r="Q49" s="2">
        <f>LN(1+E49+Inputs!$B$6/Inputs!$B$9)</f>
        <v>3.3476641953258925e-05</v>
      </c>
    </row>
    <row r="50" spans="1:17">
      <c r="A50" s="3">
        <v>42443</v>
      </c>
      <c r="B50" t="s">
        <v>43</v>
      </c>
      <c r="C50" s="2">
        <v>0.003675682949018924</v>
      </c>
      <c r="D50" s="2">
        <v>-0.00235351382948143</v>
      </c>
      <c r="E50" s="2">
        <v>1.371498134446342E-05</v>
      </c>
      <c r="F50" s="2">
        <f>Inputs!$E$2*C50+Inputs!$F$2*D50</f>
        <v>0.0015284380615266</v>
      </c>
      <c r="G50" s="2">
        <f>Inputs!$E$3*C50+Inputs!$F$3*D50</f>
        <v>-0.0039269214800829</v>
      </c>
      <c r="H50" s="2">
        <f>F50^2</f>
        <v>2.3361229079231907e-06</v>
      </c>
      <c r="I50" s="2">
        <f>G50^2</f>
        <v>1.542071231073648e-05</v>
      </c>
      <c r="J50" s="2">
        <f>LN(1+F50+E50)</f>
        <v>0.001540965145989086</v>
      </c>
      <c r="K50" s="2">
        <f>LN(1+G50+E50)</f>
        <v>-0.003920883124649181</v>
      </c>
      <c r="L50" s="2">
        <f>LN(1+E50)</f>
        <v>1.3714887294451843e-05</v>
      </c>
      <c r="M50" s="2">
        <f>LN(1+C50+E50)</f>
        <v>0.0036826087952421416</v>
      </c>
      <c r="N50" s="2">
        <f>LN(1+D50+E50)</f>
        <v>-0.002342540454835629</v>
      </c>
      <c r="O50" s="2">
        <f>LN(1+C50+E50+Inputs!$B$7/Inputs!$B$9)</f>
        <v>0.0036924929146847055</v>
      </c>
      <c r="P50" s="2">
        <f>LN(1+D50+E50+Inputs!$B$8/Inputs!$B$9)</f>
        <v>-0.002342540454835629</v>
      </c>
      <c r="Q50" s="2">
        <f>LN(1+E50+Inputs!$B$6/Inputs!$B$9)</f>
        <v>3.355568818688284e-05</v>
      </c>
    </row>
    <row r="51" spans="1:17">
      <c r="A51" s="3">
        <v>42444</v>
      </c>
      <c r="B51" t="s">
        <v>43</v>
      </c>
      <c r="C51" s="2">
        <v>-0.009863766611606322</v>
      </c>
      <c r="D51" s="2">
        <v>0.01263097387308681</v>
      </c>
      <c r="E51" s="2">
        <v>1.379403022829318E-05</v>
      </c>
      <c r="F51" s="2">
        <f>Inputs!$E$2*C51+Inputs!$F$2*D51</f>
        <v>-0.0003124289654326002</v>
      </c>
      <c r="G51" s="2">
        <f>Inputs!$E$3*C51+Inputs!$F$3*D51</f>
        <v>0.0181162986311862</v>
      </c>
      <c r="H51" s="2">
        <f>F51^2</f>
        <v>9.761185844128488e-08</v>
      </c>
      <c r="I51" s="2">
        <f>G51^2</f>
        <v>0.00032820027609431897</v>
      </c>
      <c r="J51" s="2">
        <f>LN(1+F51+E51)</f>
        <v>-0.00029867953549649826</v>
      </c>
      <c r="K51" s="2">
        <f>LN(1+G51+E51)</f>
        <v>0.017967702361823937</v>
      </c>
      <c r="L51" s="2">
        <f>LN(1+E51)</f>
        <v>1.3793935091293612e-05</v>
      </c>
      <c r="M51" s="2">
        <f>LN(1+C51+E51)</f>
        <v>-0.00989880448786581</v>
      </c>
      <c r="N51" s="2">
        <f>LN(1+D51+E51)</f>
        <v>0.012565490423048348</v>
      </c>
      <c r="O51" s="2">
        <f>LN(1+C51+E51+Inputs!$B$7/Inputs!$B$9)</f>
        <v>-0.009888785213061737</v>
      </c>
      <c r="P51" s="2">
        <f>LN(1+D51+E51+Inputs!$B$8/Inputs!$B$9)</f>
        <v>0.012565490423048348</v>
      </c>
      <c r="Q51" s="2">
        <f>LN(1+E51+Inputs!$B$6/Inputs!$B$9)</f>
        <v>3.363473441536863e-05</v>
      </c>
    </row>
    <row r="52" spans="1:17">
      <c r="A52" s="3">
        <v>42445</v>
      </c>
      <c r="B52" t="s">
        <v>43</v>
      </c>
      <c r="C52" s="2">
        <v>0.005891943411203487</v>
      </c>
      <c r="D52" s="2">
        <v>0.007032496053401083</v>
      </c>
      <c r="E52" s="2">
        <v>1.387307911212294E-05</v>
      </c>
      <c r="F52" s="2">
        <f>Inputs!$E$2*C52+Inputs!$F$2*D52</f>
        <v>0.008933052361002999</v>
      </c>
      <c r="G52" s="2">
        <f>Inputs!$E$3*C52+Inputs!$F$3*D52</f>
        <v>0.006671412240720299</v>
      </c>
      <c r="H52" s="2">
        <f>F52^2</f>
        <v>7.979942448442125e-05</v>
      </c>
      <c r="I52" s="2">
        <f>G52^2</f>
        <v>4.450774128563265e-05</v>
      </c>
      <c r="J52" s="2">
        <f>LN(1+F52+E52)</f>
        <v>0.008907138838443658</v>
      </c>
      <c r="K52" s="2">
        <f>LN(1+G52+E52)</f>
        <v>0.006663037898458432</v>
      </c>
      <c r="L52" s="2">
        <f>LN(1+E52)</f>
        <v>1.3872982881664787e-05</v>
      </c>
      <c r="M52" s="2">
        <f>LN(1+C52+E52)</f>
        <v>0.005888445515744189</v>
      </c>
      <c r="N52" s="2">
        <f>LN(1+D52+E52)</f>
        <v>0.007021659481182401</v>
      </c>
      <c r="O52" s="2">
        <f>LN(1+C52+E52+Inputs!$B$7/Inputs!$B$9)</f>
        <v>0.005898307856569516</v>
      </c>
      <c r="P52" s="2">
        <f>LN(1+D52+E52+Inputs!$B$8/Inputs!$B$9)</f>
        <v>0.007021659481182401</v>
      </c>
      <c r="Q52" s="2">
        <f>LN(1+E52+Inputs!$B$6/Inputs!$B$9)</f>
        <v>3.371378063738408e-05</v>
      </c>
    </row>
    <row r="53" spans="1:17">
      <c r="A53" s="3">
        <v>42446</v>
      </c>
      <c r="B53" t="s">
        <v>43</v>
      </c>
      <c r="C53" s="2">
        <v>-0.00142988871557588</v>
      </c>
      <c r="D53" s="2">
        <v>-0.00136763744917389</v>
      </c>
      <c r="E53" s="2">
        <v>1.39521279959527E-05</v>
      </c>
      <c r="F53" s="2">
        <f>Inputs!$E$2*C53+Inputs!$F$2*D53</f>
        <v>-0.0019644934419652</v>
      </c>
      <c r="G53" s="2">
        <f>Inputs!$E$3*C53+Inputs!$F$3*D53</f>
        <v>-0.0012121983243359997</v>
      </c>
      <c r="H53" s="2">
        <f>F53^2</f>
        <v>3.859234483524279e-06</v>
      </c>
      <c r="I53" s="2">
        <f>G53^2</f>
        <v>1.4694247775230056e-06</v>
      </c>
      <c r="J53" s="2">
        <f>LN(1+F53+E53)</f>
        <v>-0.0019524460969863031</v>
      </c>
      <c r="K53" s="2">
        <f>LN(1+G53+E53)</f>
        <v>-0.0011989646673075068</v>
      </c>
      <c r="L53" s="2">
        <f>LN(1+E53)</f>
        <v>1.395203066600945e-05</v>
      </c>
      <c r="M53" s="2">
        <f>LN(1+C53+E53)</f>
        <v>-0.0014169399730553293</v>
      </c>
      <c r="N53" s="2">
        <f>LN(1+D53+E53)</f>
        <v>-0.0013546023808525937</v>
      </c>
      <c r="O53" s="2">
        <f>LN(1+C53+E53+Inputs!$B$7/Inputs!$B$9)</f>
        <v>-0.0014070053205756789</v>
      </c>
      <c r="P53" s="2">
        <f>LN(1+D53+E53+Inputs!$B$8/Inputs!$B$9)</f>
        <v>-0.0013546023808525937</v>
      </c>
      <c r="Q53" s="2">
        <f>LN(1+E53+Inputs!$B$6/Inputs!$B$9)</f>
        <v>3.3792826853373264e-05</v>
      </c>
    </row>
    <row r="54" spans="1:17">
      <c r="A54" s="3">
        <v>42447</v>
      </c>
      <c r="B54" t="s">
        <v>43</v>
      </c>
      <c r="C54" s="2">
        <v>-0.02766265554650915</v>
      </c>
      <c r="D54" s="2">
        <v>0.001611934020496797</v>
      </c>
      <c r="E54" s="2">
        <v>1.403117687978246E-05</v>
      </c>
      <c r="F54" s="2">
        <f>Inputs!$E$2*C54+Inputs!$F$2*D54</f>
        <v>-0.021162964024909</v>
      </c>
      <c r="G54" s="2">
        <f>Inputs!$E$3*C54+Inputs!$F$3*D54</f>
        <v>0.010233117488549099</v>
      </c>
      <c r="H54" s="2">
        <f>F54^2</f>
        <v>0.0004478710463195926</v>
      </c>
      <c r="I54" s="2">
        <f>G54^2</f>
        <v>0.00010471669353444941</v>
      </c>
      <c r="J54" s="2">
        <f>LN(1+F54+E54)</f>
        <v>-0.02137577555026905</v>
      </c>
      <c r="K54" s="2">
        <f>LN(1+G54+E54)</f>
        <v>0.010195002567542423</v>
      </c>
      <c r="L54" s="2">
        <f>LN(1+E54)</f>
        <v>1.403107844388352e-05</v>
      </c>
      <c r="M54" s="2">
        <f>LN(1+C54+E54)</f>
        <v>-0.02803804228408898</v>
      </c>
      <c r="N54" s="2">
        <f>LN(1+D54+E54)</f>
        <v>0.0016246447471090387</v>
      </c>
      <c r="O54" s="2">
        <f>LN(1+C54+E54+Inputs!$B$7/Inputs!$B$9)</f>
        <v>-0.028027839609869674</v>
      </c>
      <c r="P54" s="2">
        <f>LN(1+D54+E54+Inputs!$B$8/Inputs!$B$9)</f>
        <v>0.0016246447471090387</v>
      </c>
      <c r="Q54" s="2">
        <f>LN(1+E54+Inputs!$B$6/Inputs!$B$9)</f>
        <v>3.3871873062892104e-05</v>
      </c>
    </row>
    <row r="55" spans="1:17">
      <c r="A55" s="3">
        <v>42450</v>
      </c>
      <c r="B55" t="s">
        <v>43</v>
      </c>
      <c r="C55" s="2">
        <v>0.007442104253188537</v>
      </c>
      <c r="D55" s="2">
        <v>-0.009645996561012983</v>
      </c>
      <c r="E55" s="2">
        <v>1.411022576361222E-05</v>
      </c>
      <c r="F55" s="2">
        <f>Inputs!$E$2*C55+Inputs!$F$2*D55</f>
        <v>0.00016608546594340003</v>
      </c>
      <c r="G55" s="2">
        <f>Inputs!$E$3*C55+Inputs!$F$3*D55</f>
        <v>-0.013807827149172301</v>
      </c>
      <c r="H55" s="2">
        <f>F55^2</f>
        <v>2.758438199763629e-08</v>
      </c>
      <c r="I55" s="2">
        <f>G55^2</f>
        <v>0.00019065609058141968</v>
      </c>
      <c r="J55" s="2">
        <f>LN(1+F55+E55)</f>
        <v>0.00018017945841378099</v>
      </c>
      <c r="K55" s="2">
        <f>LN(1+G55+E55)</f>
        <v>-0.013889734216064768</v>
      </c>
      <c r="L55" s="2">
        <f>LN(1+E55)</f>
        <v>1.411012621573108e-05</v>
      </c>
      <c r="M55" s="2">
        <f>LN(1+C55+E55)</f>
        <v>0.007428554320066088</v>
      </c>
      <c r="N55" s="2">
        <f>LN(1+D55+E55)</f>
        <v>-0.009678572981285175</v>
      </c>
      <c r="O55" s="2">
        <f>LN(1+C55+E55+Inputs!$B$7/Inputs!$B$9)</f>
        <v>0.007438401483578621</v>
      </c>
      <c r="P55" s="2">
        <f>LN(1+D55+E55+Inputs!$B$8/Inputs!$B$9)</f>
        <v>-0.009678572981285175</v>
      </c>
      <c r="Q55" s="2">
        <f>LN(1+E55+Inputs!$B$6/Inputs!$B$9)</f>
        <v>3.395091926638468e-05</v>
      </c>
    </row>
    <row r="56" spans="1:17">
      <c r="A56" s="3">
        <v>42451</v>
      </c>
      <c r="B56" t="s">
        <v>43</v>
      </c>
      <c r="C56" s="2">
        <v>-0.003567909419319657</v>
      </c>
      <c r="D56" s="2">
        <v>0.01227926159821964</v>
      </c>
      <c r="E56" s="2">
        <v>1.418927464744198E-05</v>
      </c>
      <c r="F56" s="2">
        <f>Inputs!$E$2*C56+Inputs!$F$2*D56</f>
        <v>0.004513229423475999</v>
      </c>
      <c r="G56" s="2">
        <f>Inputs!$E$3*C56+Inputs!$F$3*D56</f>
        <v>0.01580548674366</v>
      </c>
      <c r="H56" s="2">
        <f>F56^2</f>
        <v>2.0369239828929496e-05</v>
      </c>
      <c r="I56" s="2">
        <f>G56^2</f>
        <v>0.00024981341120401196</v>
      </c>
      <c r="J56" s="2">
        <f>LN(1+F56+E56)</f>
        <v>0.004517200767049418</v>
      </c>
      <c r="K56" s="2">
        <f>LN(1+G56+E56)</f>
        <v>0.015695849170149743</v>
      </c>
      <c r="L56" s="2">
        <f>LN(1+E56)</f>
        <v>1.4189173980219883e-05</v>
      </c>
      <c r="M56" s="2">
        <f>LN(1+C56+E56)</f>
        <v>-0.003560049607982995</v>
      </c>
      <c r="N56" s="2">
        <f>LN(1+D56+E56)</f>
        <v>0.012218500049993529</v>
      </c>
      <c r="O56" s="2">
        <f>LN(1+C56+E56+Inputs!$B$7/Inputs!$B$9)</f>
        <v>-0.0035500936417291623</v>
      </c>
      <c r="P56" s="2">
        <f>LN(1+D56+E56+Inputs!$B$8/Inputs!$B$9)</f>
        <v>0.012218500049993529</v>
      </c>
      <c r="Q56" s="2">
        <f>LN(1+E56+Inputs!$B$6/Inputs!$B$9)</f>
        <v>3.4029965462518765e-05</v>
      </c>
    </row>
    <row r="57" spans="1:17">
      <c r="A57" s="3">
        <v>42452</v>
      </c>
      <c r="B57" t="s">
        <v>43</v>
      </c>
      <c r="C57" s="2">
        <v>0.01304453547368352</v>
      </c>
      <c r="D57" s="2">
        <v>0.01086774918260244</v>
      </c>
      <c r="E57" s="2">
        <v>1.426832353127174E-05</v>
      </c>
      <c r="F57" s="2">
        <f>Inputs!$E$2*C57+Inputs!$F$2*D57</f>
        <v>0.0169562778885084</v>
      </c>
      <c r="G57" s="2">
        <f>Inputs!$E$3*C57+Inputs!$F$3*D57</f>
        <v>0.0091279383770172</v>
      </c>
      <c r="H57" s="2">
        <f>F57^2</f>
        <v>0.0002875153598323189</v>
      </c>
      <c r="I57" s="2">
        <f>G57^2</f>
        <v>8.331925901462341e-05</v>
      </c>
      <c r="J57" s="2">
        <f>LN(1+F57+E57)</f>
        <v>0.01682815520360969</v>
      </c>
      <c r="K57" s="2">
        <f>LN(1+G57+E57)</f>
        <v>0.009100669696850987</v>
      </c>
      <c r="L57" s="2">
        <f>LN(1+E57)</f>
        <v>1.4268221739348304e-05</v>
      </c>
      <c r="M57" s="2">
        <f>LN(1+C57+E57)</f>
        <v>0.012974272739917886</v>
      </c>
      <c r="N57" s="2">
        <f>LN(1+D57+E57)</f>
        <v>0.0108232344215085</v>
      </c>
      <c r="O57" s="2">
        <f>LN(1+C57+E57+Inputs!$B$7/Inputs!$B$9)</f>
        <v>0.01298406544524618</v>
      </c>
      <c r="P57" s="2">
        <f>LN(1+D57+E57+Inputs!$B$8/Inputs!$B$9)</f>
        <v>0.0108232344215085</v>
      </c>
      <c r="Q57" s="2">
        <f>LN(1+E57+Inputs!$B$6/Inputs!$B$9)</f>
        <v>3.41090116532927e-05</v>
      </c>
    </row>
    <row r="58" spans="1:17">
      <c r="A58" s="3">
        <v>42453</v>
      </c>
      <c r="B58" t="s">
        <v>43</v>
      </c>
      <c r="C58" s="2">
        <v>-0.001986565401979472</v>
      </c>
      <c r="D58" s="2">
        <v>-0.002636463466733872</v>
      </c>
      <c r="E58" s="2">
        <v>1.43473724151015E-05</v>
      </c>
      <c r="F58" s="2">
        <f>Inputs!$E$2*C58+Inputs!$F$2*D58</f>
        <v>-0.0031711304016236</v>
      </c>
      <c r="G58" s="2">
        <f>Inputs!$E$3*C58+Inputs!$F$3*D58</f>
        <v>-0.0025677865394871</v>
      </c>
      <c r="H58" s="2">
        <f>F58^2</f>
        <v>1.0056068024101456e-05</v>
      </c>
      <c r="I58" s="2">
        <f>G58^2</f>
        <v>6.593527712371135e-06</v>
      </c>
      <c r="J58" s="2">
        <f>LN(1+F58+E58)</f>
        <v>-0.0031617761797195832</v>
      </c>
      <c r="K58" s="2">
        <f>LN(1+G58+E58)</f>
        <v>-0.002556704753029921</v>
      </c>
      <c r="L58" s="2">
        <f>LN(1+E58)</f>
        <v>1.4347269492450218e-05</v>
      </c>
      <c r="M58" s="2">
        <f>LN(1+C58+E58)</f>
        <v>-0.001974165412405624</v>
      </c>
      <c r="N58" s="2">
        <f>LN(1+D58+E58)</f>
        <v>-0.0026255598620147243</v>
      </c>
      <c r="O58" s="2">
        <f>LN(1+C58+E58+Inputs!$B$7/Inputs!$B$9)</f>
        <v>-0.0019642252225697595</v>
      </c>
      <c r="P58" s="2">
        <f>LN(1+D58+E58+Inputs!$B$8/Inputs!$B$9)</f>
        <v>-0.0026255598620147243</v>
      </c>
      <c r="Q58" s="2">
        <f>LN(1+E58+Inputs!$B$6/Inputs!$B$9)</f>
        <v>3.418805783804037e-05</v>
      </c>
    </row>
    <row r="59" spans="1:17">
      <c r="A59" s="3">
        <v>42457</v>
      </c>
      <c r="B59" t="s">
        <v>43</v>
      </c>
      <c r="C59" s="2">
        <v>-0.001021496284101007</v>
      </c>
      <c r="D59" s="2">
        <v>0.003915439586971223</v>
      </c>
      <c r="E59" s="2">
        <v>1.442642129893126E-05</v>
      </c>
      <c r="F59" s="2">
        <f>Inputs!$E$2*C59+Inputs!$F$2*D59</f>
        <v>0.0015320667249018</v>
      </c>
      <c r="G59" s="2">
        <f>Inputs!$E$3*C59+Inputs!$F$3*D59</f>
        <v>0.0050049763895954995</v>
      </c>
      <c r="H59" s="2">
        <f>F59^2</f>
        <v>2.3472284495513277e-06</v>
      </c>
      <c r="I59" s="2">
        <f>G59^2</f>
        <v>2.50497886604084e-05</v>
      </c>
      <c r="J59" s="2">
        <f>LN(1+F59+E59)</f>
        <v>0.0015452985571322447</v>
      </c>
      <c r="K59" s="2">
        <f>LN(1+G59+E59)</f>
        <v>0.005006847604172076</v>
      </c>
      <c r="L59" s="2">
        <f>LN(1+E59)</f>
        <v>1.4426317239081545e-05</v>
      </c>
      <c r="M59" s="2">
        <f>LN(1+C59+E59)</f>
        <v>-0.0010075772983668995</v>
      </c>
      <c r="N59" s="2">
        <f>LN(1+D59+E59)</f>
        <v>0.003922164256156688</v>
      </c>
      <c r="O59" s="2">
        <f>LN(1+C59+E59+Inputs!$B$7/Inputs!$B$9)</f>
        <v>-0.000997646711910671</v>
      </c>
      <c r="P59" s="2">
        <f>LN(1+D59+E59+Inputs!$B$8/Inputs!$B$9)</f>
        <v>0.003922164256156688</v>
      </c>
      <c r="Q59" s="2">
        <f>LN(1+E59+Inputs!$B$6/Inputs!$B$9)</f>
        <v>3.426710401631771e-05</v>
      </c>
    </row>
    <row r="60" spans="1:17">
      <c r="A60" s="3">
        <v>42458</v>
      </c>
      <c r="B60" t="s">
        <v>43</v>
      </c>
      <c r="C60" s="2">
        <v>0.002906702528065612</v>
      </c>
      <c r="D60" s="2">
        <v>-0.01952229916690448</v>
      </c>
      <c r="E60" s="2">
        <v>1.450547018276102E-05</v>
      </c>
      <c r="F60" s="2">
        <f>Inputs!$E$2*C60+Inputs!$F$2*D60</f>
        <v>-0.009388017477689602</v>
      </c>
      <c r="G60" s="2">
        <f>Inputs!$E$3*C60+Inputs!$F$3*D60</f>
        <v>-0.0242987697587046</v>
      </c>
      <c r="H60" s="2">
        <f>F60^2</f>
        <v>8.813487216140543e-05</v>
      </c>
      <c r="I60" s="2">
        <f>G60^2</f>
        <v>0.0005904302117865373</v>
      </c>
      <c r="J60" s="2">
        <f>LN(1+F60+E60)</f>
        <v>-0.009417719843178421</v>
      </c>
      <c r="K60" s="2">
        <f>LN(1+G60+E60)</f>
        <v>-0.024583989385820033</v>
      </c>
      <c r="L60" s="2">
        <f>LN(1+E60)</f>
        <v>1.4505364979686367e-05</v>
      </c>
      <c r="M60" s="2">
        <f>LN(1+C60+E60)</f>
        <v>0.002916949561335447</v>
      </c>
      <c r="N60" s="2">
        <f>LN(1+D60+E60)</f>
        <v>-0.019700582073625916</v>
      </c>
      <c r="O60" s="2">
        <f>LN(1+C60+E60+Inputs!$B$7/Inputs!$B$9)</f>
        <v>0.002926841251505831</v>
      </c>
      <c r="P60" s="2">
        <f>LN(1+D60+E60+Inputs!$B$8/Inputs!$B$9)</f>
        <v>-0.019700582073625916</v>
      </c>
      <c r="Q60" s="2">
        <f>LN(1+E60+Inputs!$B$6/Inputs!$B$9)</f>
        <v>3.434615018856879e-05</v>
      </c>
    </row>
    <row r="61" spans="1:17">
      <c r="A61" s="3">
        <v>42459</v>
      </c>
      <c r="B61" t="s">
        <v>43</v>
      </c>
      <c r="C61" s="2">
        <v>9.460359819942922E-05</v>
      </c>
      <c r="D61" s="2">
        <v>0.009241669815265538</v>
      </c>
      <c r="E61" s="2">
        <v>1.458451906659078E-05</v>
      </c>
      <c r="F61" s="2">
        <f>Inputs!$E$2*C61+Inputs!$F$2*D61</f>
        <v>0.0056206847677188</v>
      </c>
      <c r="G61" s="2">
        <f>Inputs!$E$3*C61+Inputs!$F$3*D61</f>
        <v>0.0110616226988595</v>
      </c>
      <c r="H61" s="2">
        <f>F61^2</f>
        <v>3.159209725806614e-05</v>
      </c>
      <c r="I61" s="2">
        <f>G61^2</f>
        <v>0.00012235949673192374</v>
      </c>
      <c r="J61" s="2">
        <f>LN(1+F61+E61)</f>
        <v>0.005619450557526876</v>
      </c>
      <c r="K61" s="2">
        <f>LN(1+G61+E61)</f>
        <v>0.011015315256825867</v>
      </c>
      <c r="L61" s="2">
        <f>LN(1+E61)</f>
        <v>1.4584412714042644e-05</v>
      </c>
      <c r="M61" s="2">
        <f>LN(1+C61+E61)</f>
        <v>0.00010918215667752717</v>
      </c>
      <c r="N61" s="2">
        <f>LN(1+D61+E61)</f>
        <v>0.009213677743684081</v>
      </c>
      <c r="O61" s="2">
        <f>LN(1+C61+E61+Inputs!$B$7/Inputs!$B$9)</f>
        <v>0.00011910165930257878</v>
      </c>
      <c r="P61" s="2">
        <f>LN(1+D61+E61+Inputs!$B$8/Inputs!$B$9)</f>
        <v>0.009213677743684081</v>
      </c>
      <c r="Q61" s="2">
        <f>LN(1+E61+Inputs!$B$6/Inputs!$B$9)</f>
        <v>3.442519635457157e-05</v>
      </c>
    </row>
    <row r="62" spans="1:17">
      <c r="A62" s="3">
        <v>42460</v>
      </c>
      <c r="B62" t="s">
        <v>43</v>
      </c>
      <c r="C62" s="2">
        <v>-0.004946570524747383</v>
      </c>
      <c r="D62" s="2">
        <v>0.004745045185709125</v>
      </c>
      <c r="E62" s="2">
        <v>1.466356795042054E-05</v>
      </c>
      <c r="F62" s="2">
        <f>Inputs!$E$2*C62+Inputs!$F$2*D62</f>
        <v>-0.0011102293083722005</v>
      </c>
      <c r="G62" s="2">
        <f>Inputs!$E$3*C62+Inputs!$F$3*D62</f>
        <v>0.0071780253802748994</v>
      </c>
      <c r="H62" s="2">
        <f>F62^2</f>
        <v>1.2326091171686146e-06</v>
      </c>
      <c r="I62" s="2">
        <f>G62^2</f>
        <v>5.1524048359870616e-05</v>
      </c>
      <c r="J62" s="2">
        <f>LN(1+F62+E62)</f>
        <v>-0.0010961663112513246</v>
      </c>
      <c r="K62" s="2">
        <f>LN(1+G62+E62)</f>
        <v>0.007166944933157411</v>
      </c>
      <c r="L62" s="2">
        <f>LN(1+E62)</f>
        <v>1.466346044104017e-05</v>
      </c>
      <c r="M62" s="2">
        <f>LN(1+C62+E62)</f>
        <v>-0.004944108945827591</v>
      </c>
      <c r="N62" s="2">
        <f>LN(1+D62+E62)</f>
        <v>0.004748417155585696</v>
      </c>
      <c r="O62" s="2">
        <f>LN(1+C62+E62+Inputs!$B$7/Inputs!$B$9)</f>
        <v>-0.004934139190454108</v>
      </c>
      <c r="P62" s="2">
        <f>LN(1+D62+E62+Inputs!$B$8/Inputs!$B$9)</f>
        <v>0.004748417155585696</v>
      </c>
      <c r="Q62" s="2">
        <f>LN(1+E62+Inputs!$B$6/Inputs!$B$9)</f>
        <v>3.450424251321586e-05</v>
      </c>
    </row>
    <row r="63" spans="1:17">
      <c r="A63" s="3">
        <v>42461</v>
      </c>
      <c r="B63" t="s">
        <v>44</v>
      </c>
      <c r="C63" s="2">
        <v>-0.01988246160870414</v>
      </c>
      <c r="D63" s="2">
        <v>0.002783335240615068</v>
      </c>
      <c r="E63" s="2">
        <v>1.47426168342503E-05</v>
      </c>
      <c r="F63" s="2">
        <f>Inputs!$E$2*C63+Inputs!$F$2*D63</f>
        <v>-0.014235968142594202</v>
      </c>
      <c r="G63" s="2">
        <f>Inputs!$E$3*C63+Inputs!$F$3*D63</f>
        <v>0.0093047407713492</v>
      </c>
      <c r="H63" s="2">
        <f>F63^2</f>
        <v>0.00020266278895695702</v>
      </c>
      <c r="I63" s="2">
        <f>G63^2</f>
        <v>8.657820082200811e-05</v>
      </c>
      <c r="J63" s="2">
        <f>LN(1+F63+E63)</f>
        <v>-0.014323316212452026</v>
      </c>
      <c r="K63" s="2">
        <f>LN(1+G63+E63)</f>
        <v>0.00927632493862367</v>
      </c>
      <c r="L63" s="2">
        <f>LN(1+E63)</f>
        <v>1.474250816267732e-05</v>
      </c>
      <c r="M63" s="2">
        <f>LN(1+C63+E63)</f>
        <v>-0.020067735806042913</v>
      </c>
      <c r="N63" s="2">
        <f>LN(1+D63+E63)</f>
        <v>0.00279417052458489</v>
      </c>
      <c r="O63" s="2">
        <f>LN(1+C63+E63+Inputs!$B$7/Inputs!$B$9)</f>
        <v>-0.020057614126646937</v>
      </c>
      <c r="P63" s="2">
        <f>LN(1+D63+E63+Inputs!$B$8/Inputs!$B$9)</f>
        <v>0.00279417052458489</v>
      </c>
      <c r="Q63" s="2">
        <f>LN(1+E63+Inputs!$B$6/Inputs!$B$9)</f>
        <v>3.4583288666500016e-05</v>
      </c>
    </row>
    <row r="64" spans="1:17">
      <c r="A64" s="3">
        <v>42464</v>
      </c>
      <c r="B64" t="s">
        <v>44</v>
      </c>
      <c r="C64" s="2">
        <v>0.02267359105427026</v>
      </c>
      <c r="D64" s="2">
        <v>0.007368548820691084</v>
      </c>
      <c r="E64" s="2">
        <v>1.482166571808006E-05</v>
      </c>
      <c r="F64" s="2">
        <f>Inputs!$E$2*C64+Inputs!$F$2*D64</f>
        <v>0.0225600021358306</v>
      </c>
      <c r="G64" s="2">
        <f>Inputs!$E$3*C64+Inputs!$F$3*D64</f>
        <v>0.0020401812685481987</v>
      </c>
      <c r="H64" s="2">
        <f>F64^2</f>
        <v>0.0005089536963686812</v>
      </c>
      <c r="I64" s="2">
        <f>G64^2</f>
        <v>4.162339608534937e-06</v>
      </c>
      <c r="J64" s="2">
        <f>LN(1+F64+E64)</f>
        <v>0.02232378356951887</v>
      </c>
      <c r="K64" s="2">
        <f>LN(1+G64+E64)</f>
        <v>0.002052894304069705</v>
      </c>
      <c r="L64" s="2">
        <f>LN(1+E64)</f>
        <v>1.4821555878287969e-05</v>
      </c>
      <c r="M64" s="2">
        <f>LN(1+C64+E64)</f>
        <v>0.02243485867860786</v>
      </c>
      <c r="N64" s="2">
        <f>LN(1+D64+E64)</f>
        <v>0.007356246834031744</v>
      </c>
      <c r="O64" s="2">
        <f>LN(1+C64+E64+Inputs!$B$7/Inputs!$B$9)</f>
        <v>0.022444559176511038</v>
      </c>
      <c r="P64" s="2">
        <f>LN(1+D64+E64+Inputs!$B$8/Inputs!$B$9)</f>
        <v>0.007356246834031744</v>
      </c>
      <c r="Q64" s="2">
        <f>LN(1+E64+Inputs!$B$6/Inputs!$B$9)</f>
        <v>3.466233481375791e-05</v>
      </c>
    </row>
    <row r="65" spans="1:17">
      <c r="A65" s="3">
        <v>42465</v>
      </c>
      <c r="B65" t="s">
        <v>44</v>
      </c>
      <c r="C65" s="2">
        <v>-0.0207338027577529</v>
      </c>
      <c r="D65" s="2">
        <v>0.002935426160003738</v>
      </c>
      <c r="E65" s="2">
        <v>1.490071460190982E-05</v>
      </c>
      <c r="F65" s="2">
        <f>Inputs!$E$2*C65+Inputs!$F$2*D65</f>
        <v>-0.014825786510199999</v>
      </c>
      <c r="G65" s="2">
        <f>Inputs!$E$3*C65+Inputs!$F$3*D65</f>
        <v>0.0097426522193307</v>
      </c>
      <c r="H65" s="2">
        <f>F65^2</f>
        <v>0.00021980394564602828</v>
      </c>
      <c r="I65" s="2">
        <f>G65^2</f>
        <v>9.491927226682942e-05</v>
      </c>
      <c r="J65" s="2">
        <f>LN(1+F65+E65)</f>
        <v>-0.014921662122415557</v>
      </c>
      <c r="K65" s="2">
        <f>LN(1+G65+E65)</f>
        <v>0.009710255437304789</v>
      </c>
      <c r="L65" s="2">
        <f>LN(1+E65)</f>
        <v>1.4900603587428036e-05</v>
      </c>
      <c r="M65" s="2">
        <f>LN(1+C65+E65)</f>
        <v>-0.020936550027647143</v>
      </c>
      <c r="N65" s="2">
        <f>LN(1+D65+E65)</f>
        <v>0.002945983201678649</v>
      </c>
      <c r="O65" s="2">
        <f>LN(1+C65+E65+Inputs!$B$7/Inputs!$B$9)</f>
        <v>-0.020926419550615506</v>
      </c>
      <c r="P65" s="2">
        <f>LN(1+D65+E65+Inputs!$B$8/Inputs!$B$9)</f>
        <v>0.002945983201678649</v>
      </c>
      <c r="Q65" s="2">
        <f>LN(1+E65+Inputs!$B$6/Inputs!$B$9)</f>
        <v>3.4741380954545475e-05</v>
      </c>
    </row>
    <row r="66" spans="1:17">
      <c r="A66" s="3">
        <v>42466</v>
      </c>
      <c r="B66" t="s">
        <v>44</v>
      </c>
      <c r="C66" s="2">
        <v>-0.004555922880177025</v>
      </c>
      <c r="D66" s="2">
        <v>-0.007278960826402136</v>
      </c>
      <c r="E66" s="2">
        <v>1.497976348573958E-05</v>
      </c>
      <c r="F66" s="2">
        <f>Inputs!$E$2*C66+Inputs!$F$2*D66</f>
        <v>-0.0080121147999828</v>
      </c>
      <c r="G66" s="2">
        <f>Inputs!$E$3*C66+Inputs!$F$3*D66</f>
        <v>-0.0073679761276292995</v>
      </c>
      <c r="H66" s="2">
        <f>F66^2</f>
        <v>6.419398356810341e-05</v>
      </c>
      <c r="I66" s="2">
        <f>G66^2</f>
        <v>5.428707221731525e-05</v>
      </c>
      <c r="J66" s="2">
        <f>LN(1+F66+E66)</f>
        <v>-0.008029283633387133</v>
      </c>
      <c r="K66" s="2">
        <f>LN(1+G66+E66)</f>
        <v>-0.00738016289409442</v>
      </c>
      <c r="L66" s="2">
        <f>LN(1+E66)</f>
        <v>1.4979651290541604e-05</v>
      </c>
      <c r="M66" s="2">
        <f>LN(1+C66+E66)</f>
        <v>-0.004551284517235509</v>
      </c>
      <c r="N66" s="2">
        <f>LN(1+D66+E66)</f>
        <v>-0.0072904922358135015</v>
      </c>
      <c r="O66" s="2">
        <f>LN(1+C66+E66+Inputs!$B$7/Inputs!$B$9)</f>
        <v>-0.004541318677436851</v>
      </c>
      <c r="P66" s="2">
        <f>LN(1+D66+E66+Inputs!$B$8/Inputs!$B$9)</f>
        <v>-0.0072904922358135015</v>
      </c>
      <c r="Q66" s="2">
        <f>LN(1+E66+Inputs!$B$6/Inputs!$B$9)</f>
        <v>3.482042708930679e-05</v>
      </c>
    </row>
    <row r="67" spans="1:17">
      <c r="A67" s="3">
        <v>42467</v>
      </c>
      <c r="B67" t="s">
        <v>44</v>
      </c>
      <c r="C67" s="2">
        <v>0.009059910076244971</v>
      </c>
      <c r="D67" s="2">
        <v>-0.005091579409042765</v>
      </c>
      <c r="E67" s="2">
        <v>1.505881236956934E-05</v>
      </c>
      <c r="F67" s="2">
        <f>Inputs!$E$2*C67+Inputs!$F$2*D67</f>
        <v>0.0041929804155702004</v>
      </c>
      <c r="G67" s="2">
        <f>Inputs!$E$3*C67+Inputs!$F$3*D67</f>
        <v>-0.0088278683137251</v>
      </c>
      <c r="H67" s="2">
        <f>F67^2</f>
        <v>1.758108476535525e-05</v>
      </c>
      <c r="I67" s="2">
        <f>G67^2</f>
        <v>7.793125896447165e-05</v>
      </c>
      <c r="J67" s="2">
        <f>LN(1+F67+E67)</f>
        <v>0.004199210190825123</v>
      </c>
      <c r="K67" s="2">
        <f>LN(1+G67+E67)</f>
        <v>-0.008851871976451589</v>
      </c>
      <c r="L67" s="2">
        <f>LN(1+E67)</f>
        <v>1.505869898718459e-05</v>
      </c>
      <c r="M67" s="2">
        <f>LN(1+C67+E67)</f>
        <v>0.009034038798282261</v>
      </c>
      <c r="N67" s="2">
        <f>LN(1+D67+E67)</f>
        <v>-0.005089449903179319</v>
      </c>
      <c r="O67" s="2">
        <f>LN(1+C67+E67+Inputs!$B$7/Inputs!$B$9)</f>
        <v>0.00904387016508841</v>
      </c>
      <c r="P67" s="2">
        <f>LN(1+D67+E67+Inputs!$B$8/Inputs!$B$9)</f>
        <v>-0.005089449903179319</v>
      </c>
      <c r="Q67" s="2">
        <f>LN(1+E67+Inputs!$B$6/Inputs!$B$9)</f>
        <v>3.489947321759777e-05</v>
      </c>
    </row>
    <row r="68" spans="1:17">
      <c r="A68" s="3">
        <v>42468</v>
      </c>
      <c r="B68" t="s">
        <v>44</v>
      </c>
      <c r="C68" s="2">
        <v>0.005244039138013916</v>
      </c>
      <c r="D68" s="2">
        <v>-0.001044713089589001</v>
      </c>
      <c r="E68" s="2">
        <v>1.51378612533991E-05</v>
      </c>
      <c r="F68" s="2">
        <f>Inputs!$E$2*C68+Inputs!$F$2*D68</f>
        <v>0.0035684034566578</v>
      </c>
      <c r="G68" s="2">
        <f>Inputs!$E$3*C68+Inputs!$F$3*D68</f>
        <v>-0.002826867448911</v>
      </c>
      <c r="H68" s="2">
        <f>F68^2</f>
        <v>1.2733503229487335e-05</v>
      </c>
      <c r="I68" s="2">
        <f>G68^2</f>
        <v>7.991179573712584e-06</v>
      </c>
      <c r="J68" s="2">
        <f>LN(1+F68+E68)</f>
        <v>0.003577135732281524</v>
      </c>
      <c r="K68" s="2">
        <f>LN(1+G68+E68)</f>
        <v>-0.002815689924634942</v>
      </c>
      <c r="L68" s="2">
        <f>LN(1+E68)</f>
        <v>1.5137746676690876e-05</v>
      </c>
      <c r="M68" s="2">
        <f>LN(1+C68+E68)</f>
        <v>0.005245395825217439</v>
      </c>
      <c r="N68" s="2">
        <f>LN(1+D68+E68)</f>
        <v>-0.001030105604984447</v>
      </c>
      <c r="O68" s="2">
        <f>LN(1+C68+E68+Inputs!$B$7/Inputs!$B$9)</f>
        <v>0.005255264510026218</v>
      </c>
      <c r="P68" s="2">
        <f>LN(1+D68+E68+Inputs!$B$8/Inputs!$B$9)</f>
        <v>-0.001030105604984447</v>
      </c>
      <c r="Q68" s="2">
        <f>LN(1+E68+Inputs!$B$6/Inputs!$B$9)</f>
        <v>3.497851933875231e-05</v>
      </c>
    </row>
    <row r="69" spans="1:17">
      <c r="A69" s="3">
        <v>42471</v>
      </c>
      <c r="B69" t="s">
        <v>44</v>
      </c>
      <c r="C69" s="2">
        <v>0.007440385884423282</v>
      </c>
      <c r="D69" s="2">
        <v>0.007007660489936972</v>
      </c>
      <c r="E69" s="2">
        <v>1.521691013722886E-05</v>
      </c>
      <c r="F69" s="2">
        <f>Inputs!$E$2*C69+Inputs!$F$2*D69</f>
        <v>0.010156905001500599</v>
      </c>
      <c r="G69" s="2">
        <f>Inputs!$E$3*C69+Inputs!$F$3*D69</f>
        <v>0.0061770768225975</v>
      </c>
      <c r="H69" s="2">
        <f>F69^2</f>
        <v>0.00010316271920950788</v>
      </c>
      <c r="I69" s="2">
        <f>G69^2</f>
        <v>3.815627807227122e-05</v>
      </c>
      <c r="J69" s="2">
        <f>LN(1+F69+E69)</f>
        <v>0.010120734068010355</v>
      </c>
      <c r="K69" s="2">
        <f>LN(1+G69+E69)</f>
        <v>0.006173200262940479</v>
      </c>
      <c r="L69" s="2">
        <f>LN(1+E69)</f>
        <v>1.521679436105883e-05</v>
      </c>
      <c r="M69" s="2">
        <f>LN(1+C69+E69)</f>
        <v>0.007427947162583888</v>
      </c>
      <c r="N69" s="2">
        <f>LN(1+D69+E69)</f>
        <v>0.006998331849840646</v>
      </c>
      <c r="O69" s="2">
        <f>LN(1+C69+E69+Inputs!$B$7/Inputs!$B$9)</f>
        <v>0.007437794332075172</v>
      </c>
      <c r="P69" s="2">
        <f>LN(1+D69+E69+Inputs!$B$8/Inputs!$B$9)</f>
        <v>0.006998331849840646</v>
      </c>
      <c r="Q69" s="2">
        <f>LN(1+E69+Inputs!$B$6/Inputs!$B$9)</f>
        <v>3.5057565454768756e-05</v>
      </c>
    </row>
    <row r="70" spans="1:17">
      <c r="A70" s="3">
        <v>42472</v>
      </c>
      <c r="B70" t="s">
        <v>44</v>
      </c>
      <c r="C70" s="2">
        <v>0.009725270945679985</v>
      </c>
      <c r="D70" s="2">
        <v>0.0004799674722310078</v>
      </c>
      <c r="E70" s="2">
        <v>1.529595902105862E-05</v>
      </c>
      <c r="F70" s="2">
        <f>Inputs!$E$2*C70+Inputs!$F$2*D70</f>
        <v>0.0080681972398826</v>
      </c>
      <c r="G70" s="2">
        <f>Inputs!$E$3*C70+Inputs!$F$3*D70</f>
        <v>-0.0023416203170268</v>
      </c>
      <c r="H70" s="2">
        <f>F70^2</f>
        <v>6.509580670164922e-05</v>
      </c>
      <c r="I70" s="2">
        <f>G70^2</f>
        <v>5.483185709112693e-06</v>
      </c>
      <c r="J70" s="2">
        <f>LN(1+F70+E70)</f>
        <v>0.00805099677338373</v>
      </c>
      <c r="K70" s="2">
        <f>LN(1+G70+E70)</f>
        <v>-0.002329034454373107</v>
      </c>
      <c r="L70" s="2">
        <f>LN(1+E70)</f>
        <v>1.529584203895621e-05</v>
      </c>
      <c r="M70" s="2">
        <f>LN(1+C70+E70)</f>
        <v>0.009693433407053658</v>
      </c>
      <c r="N70" s="2">
        <f>LN(1+D70+E70)</f>
        <v>0.0004951408287973392</v>
      </c>
      <c r="O70" s="2">
        <f>LN(1+C70+E70+Inputs!$B$7/Inputs!$B$9)</f>
        <v>0.00970325829327825</v>
      </c>
      <c r="P70" s="2">
        <f>LN(1+D70+E70+Inputs!$B$8/Inputs!$B$9)</f>
        <v>0.0004951408287973392</v>
      </c>
      <c r="Q70" s="2">
        <f>LN(1+E70+Inputs!$B$6/Inputs!$B$9)</f>
        <v>3.5136611564314866e-05</v>
      </c>
    </row>
    <row r="71" spans="1:17">
      <c r="A71" s="3">
        <v>42473</v>
      </c>
      <c r="B71" t="s">
        <v>44</v>
      </c>
      <c r="C71" s="2">
        <v>0.01555161016770837</v>
      </c>
      <c r="D71" s="2">
        <v>-0.004461865270924409</v>
      </c>
      <c r="E71" s="2">
        <v>1.537500790488838E-05</v>
      </c>
      <c r="F71" s="2">
        <f>Inputs!$E$2*C71+Inputs!$F$2*D71</f>
        <v>0.009764168971612003</v>
      </c>
      <c r="G71" s="2">
        <f>Inputs!$E$3*C71+Inputs!$F$3*D71</f>
        <v>-0.0100197213754212</v>
      </c>
      <c r="H71" s="2">
        <f>F71^2</f>
        <v>9.53389957061906e-05</v>
      </c>
      <c r="I71" s="2">
        <f>G71^2</f>
        <v>0.0001003948164410725</v>
      </c>
      <c r="J71" s="2">
        <f>LN(1+F71+E71)</f>
        <v>0.009732033740480098</v>
      </c>
      <c r="K71" s="2">
        <f>LN(1+G71+E71)</f>
        <v>-0.010054726133357015</v>
      </c>
      <c r="L71" s="2">
        <f>LN(1+E71)</f>
        <v>1.5374889710827092e-05</v>
      </c>
      <c r="M71" s="2">
        <f>LN(1+C71+E71)</f>
        <v>0.015447062615798049</v>
      </c>
      <c r="N71" s="2">
        <f>LN(1+D71+E71)</f>
        <v>-0.004456405303184797</v>
      </c>
      <c r="O71" s="2">
        <f>LN(1+C71+E71+Inputs!$B$7/Inputs!$B$9)</f>
        <v>0.015456831135856892</v>
      </c>
      <c r="P71" s="2">
        <f>LN(1+D71+E71+Inputs!$B$8/Inputs!$B$9)</f>
        <v>-0.004456405303184797</v>
      </c>
      <c r="Q71" s="2">
        <f>LN(1+E71+Inputs!$B$6/Inputs!$B$9)</f>
        <v>3.5215657667834736e-05</v>
      </c>
    </row>
    <row r="72" spans="1:17">
      <c r="A72" s="3">
        <v>42474</v>
      </c>
      <c r="B72" t="s">
        <v>44</v>
      </c>
      <c r="C72" s="2">
        <v>0.00392422937794597</v>
      </c>
      <c r="D72" s="2">
        <v>0.002745036409546501</v>
      </c>
      <c r="E72" s="2">
        <v>1.545405678871814E-05</v>
      </c>
      <c r="F72" s="2">
        <f>Inputs!$E$2*C72+Inputs!$F$2*D72</f>
        <v>0.004786405348085</v>
      </c>
      <c r="G72" s="2">
        <f>Inputs!$E$3*C72+Inputs!$F$3*D72</f>
        <v>0.0021167748780726</v>
      </c>
      <c r="H72" s="2">
        <f>F72^2</f>
        <v>2.2909676156176687e-05</v>
      </c>
      <c r="I72" s="2">
        <f>G72^2</f>
        <v>4.480735884439271e-06</v>
      </c>
      <c r="J72" s="2">
        <f>LN(1+F72+E72)</f>
        <v>0.004790367252451591</v>
      </c>
      <c r="K72" s="2">
        <f>LN(1+G72+E72)</f>
        <v>0.0021299589609096053</v>
      </c>
      <c r="L72" s="2">
        <f>LN(1+E72)</f>
        <v>1.54539373762274e-05</v>
      </c>
      <c r="M72" s="2">
        <f>LN(1+C72+E72)</f>
        <v>0.003931943204662492</v>
      </c>
      <c r="N72" s="2">
        <f>LN(1+D72+E72)</f>
        <v>0.0027566873099720522</v>
      </c>
      <c r="O72" s="2">
        <f>LN(1+C72+E72+Inputs!$B$7/Inputs!$B$9)</f>
        <v>0.003941824859973357</v>
      </c>
      <c r="P72" s="2">
        <f>LN(1+D72+E72+Inputs!$B$8/Inputs!$B$9)</f>
        <v>0.0027566873099720522</v>
      </c>
      <c r="Q72" s="2">
        <f>LN(1+E72+Inputs!$B$6/Inputs!$B$9)</f>
        <v>3.529470376488428e-05</v>
      </c>
    </row>
    <row r="73" spans="1:17">
      <c r="A73" s="3">
        <v>42475</v>
      </c>
      <c r="B73" t="s">
        <v>44</v>
      </c>
      <c r="C73" s="2">
        <v>0.03490895577535998</v>
      </c>
      <c r="D73" s="2">
        <v>-0.007977731154142024</v>
      </c>
      <c r="E73" s="2">
        <v>1.55331056725479E-05</v>
      </c>
      <c r="F73" s="2">
        <f>Inputs!$E$2*C73+Inputs!$F$2*D73</f>
        <v>0.0231405259278028</v>
      </c>
      <c r="G73" s="2">
        <f>Inputs!$E$3*C73+Inputs!$F$3*D73</f>
        <v>-0.020045964117578398</v>
      </c>
      <c r="H73" s="2">
        <f>F73^2</f>
        <v>0.0005354839402153136</v>
      </c>
      <c r="I73" s="2">
        <f>G73^2</f>
        <v>0.0004018406774032407</v>
      </c>
      <c r="J73" s="2">
        <f>LN(1+F73+E73)</f>
        <v>0.02289202570971842</v>
      </c>
      <c r="K73" s="2">
        <f>LN(1+G73+E73)</f>
        <v>-0.0202337598526091</v>
      </c>
      <c r="L73" s="2">
        <f>LN(1+E73)</f>
        <v>1.553298503560122e-05</v>
      </c>
      <c r="M73" s="2">
        <f>LN(1+C73+E73)</f>
        <v>0.03432846645293031</v>
      </c>
      <c r="N73" s="2">
        <f>LN(1+D73+E73)</f>
        <v>-0.007994065617331297</v>
      </c>
      <c r="O73" s="2">
        <f>LN(1+C73+E73+Inputs!$B$7/Inputs!$B$9)</f>
        <v>0.03433805226085995</v>
      </c>
      <c r="P73" s="2">
        <f>LN(1+D73+E73+Inputs!$B$8/Inputs!$B$9)</f>
        <v>-0.007994065617331297</v>
      </c>
      <c r="Q73" s="2">
        <f>LN(1+E73+Inputs!$B$6/Inputs!$B$9)</f>
        <v>3.537374985590757e-05</v>
      </c>
    </row>
    <row r="74" spans="1:17">
      <c r="A74" s="3">
        <v>42478</v>
      </c>
      <c r="B74" t="s">
        <v>44</v>
      </c>
      <c r="C74" s="2">
        <v>-0.01502802526129411</v>
      </c>
      <c r="D74" s="2">
        <v>0.01443045412123394</v>
      </c>
      <c r="E74" s="2">
        <v>1.561215455637766E-05</v>
      </c>
      <c r="F74" s="2">
        <f>Inputs!$E$2*C74+Inputs!$F$2*D74</f>
        <v>-0.003364147736294801</v>
      </c>
      <c r="G74" s="2">
        <f>Inputs!$E$3*C74+Inputs!$F$3*D74</f>
        <v>0.021824952523869002</v>
      </c>
      <c r="H74" s="2">
        <f>F74^2</f>
        <v>1.1317489991617432e-05</v>
      </c>
      <c r="I74" s="2">
        <f>G74^2</f>
        <v>0.0004763285526691359</v>
      </c>
      <c r="J74" s="2">
        <f>LN(1+F74+E74)</f>
        <v>-0.0033541544738897966</v>
      </c>
      <c r="K74" s="2">
        <f>LN(1+G74+E74)</f>
        <v>0.02160547636166658</v>
      </c>
      <c r="L74" s="2">
        <f>LN(1+E74)</f>
        <v>1.5612032687616298e-05</v>
      </c>
      <c r="M74" s="2">
        <f>LN(1+C74+E74)</f>
        <v>-0.015126240028276047</v>
      </c>
      <c r="N74" s="2">
        <f>LN(1+D74+E74)</f>
        <v>0.014342716007836398</v>
      </c>
      <c r="O74" s="2">
        <f>LN(1+C74+E74+Inputs!$B$7/Inputs!$B$9)</f>
        <v>-0.01511616824149061</v>
      </c>
      <c r="P74" s="2">
        <f>LN(1+D74+E74+Inputs!$B$8/Inputs!$B$9)</f>
        <v>0.014342716007836398</v>
      </c>
      <c r="Q74" s="2">
        <f>LN(1+E74+Inputs!$B$6/Inputs!$B$9)</f>
        <v>3.5452795939572395e-05</v>
      </c>
    </row>
    <row r="75" spans="1:17">
      <c r="A75" s="3">
        <v>42479</v>
      </c>
      <c r="B75" t="s">
        <v>44</v>
      </c>
      <c r="C75" s="2">
        <v>0.00365962497007265</v>
      </c>
      <c r="D75" s="2">
        <v>0.002567003584843997</v>
      </c>
      <c r="E75" s="2">
        <v>1.569120344020743E-05</v>
      </c>
      <c r="F75" s="2">
        <f>Inputs!$E$2*C75+Inputs!$F$2*D75</f>
        <v>0.0044679021269648</v>
      </c>
      <c r="G75" s="2">
        <f>Inputs!$E$3*C75+Inputs!$F$3*D75</f>
        <v>0.0019825168107909003</v>
      </c>
      <c r="H75" s="2">
        <f>F75^2</f>
        <v>1.9962149416136584e-05</v>
      </c>
      <c r="I75" s="2">
        <f>G75^2</f>
        <v>3.930372905068522e-06</v>
      </c>
      <c r="J75" s="2">
        <f>LN(1+F75+E75)</f>
        <v>0.004473571969135675</v>
      </c>
      <c r="K75" s="2">
        <f>LN(1+G75+E75)</f>
        <v>0.0019962142521226488</v>
      </c>
      <c r="L75" s="2">
        <f>LN(1+E75)</f>
        <v>1.569108033427101e-05</v>
      </c>
      <c r="M75" s="2">
        <f>LN(1+C75+E75)</f>
        <v>0.0036685787022040337</v>
      </c>
      <c r="N75" s="2">
        <f>LN(1+D75+E75)</f>
        <v>0.0025793653634591618</v>
      </c>
      <c r="O75" s="2">
        <f>LN(1+C75+E75+Inputs!$B$7/Inputs!$B$9)</f>
        <v>0.0036784629603220003</v>
      </c>
      <c r="P75" s="2">
        <f>LN(1+D75+E75+Inputs!$B$8/Inputs!$B$9)</f>
        <v>0.0025793653634591618</v>
      </c>
      <c r="Q75" s="2">
        <f>LN(1+E75+Inputs!$B$6/Inputs!$B$9)</f>
        <v>3.553184201787709e-05</v>
      </c>
    </row>
    <row r="76" spans="1:17">
      <c r="A76" s="3">
        <v>42480</v>
      </c>
      <c r="B76" t="s">
        <v>44</v>
      </c>
      <c r="C76" s="2">
        <v>-0.004969658424695993</v>
      </c>
      <c r="D76" s="2">
        <v>-0.007074857881468992</v>
      </c>
      <c r="E76" s="2">
        <v>1.577025232403718E-05</v>
      </c>
      <c r="F76" s="2">
        <f>Inputs!$E$2*C76+Inputs!$F$2*D76</f>
        <v>-0.008220641468638198</v>
      </c>
      <c r="G76" s="2">
        <f>Inputs!$E$3*C76+Inputs!$F$3*D76</f>
        <v>-0.006998931930353999</v>
      </c>
      <c r="H76" s="2">
        <f>F76^2</f>
        <v>6.7578946155894e-05</v>
      </c>
      <c r="I76" s="2">
        <f>G76^2</f>
        <v>4.898504816572875e-05</v>
      </c>
      <c r="J76" s="2">
        <f>LN(1+F76+E76)</f>
        <v>-0.008238716429701557</v>
      </c>
      <c r="K76" s="2">
        <f>LN(1+G76+E76)</f>
        <v>-0.007007658059615217</v>
      </c>
      <c r="L76" s="2">
        <f>LN(1+E76)</f>
        <v>1.5770127974899232e-05</v>
      </c>
      <c r="M76" s="2">
        <f>LN(1+C76+E76)</f>
        <v>-0.004966199352018397</v>
      </c>
      <c r="N76" s="2">
        <f>LN(1+D76+E76)</f>
        <v>-0.007084120865659864</v>
      </c>
      <c r="O76" s="2">
        <f>LN(1+C76+E76+Inputs!$B$7/Inputs!$B$9)</f>
        <v>-0.004956229376407634</v>
      </c>
      <c r="P76" s="2">
        <f>LN(1+D76+E76+Inputs!$B$8/Inputs!$B$9)</f>
        <v>-0.007084120865659864</v>
      </c>
      <c r="Q76" s="2">
        <f>LN(1+E76+Inputs!$B$6/Inputs!$B$9)</f>
        <v>3.561088809015553e-05</v>
      </c>
    </row>
    <row r="77" spans="1:17">
      <c r="A77" s="3">
        <v>42481</v>
      </c>
      <c r="B77" t="s">
        <v>44</v>
      </c>
      <c r="C77" s="2">
        <v>-0.007334940131171918</v>
      </c>
      <c r="D77" s="2">
        <v>0.001456871399932326</v>
      </c>
      <c r="E77" s="2">
        <v>1.584930120786694E-05</v>
      </c>
      <c r="F77" s="2">
        <f>Inputs!$E$2*C77+Inputs!$F$2*D77</f>
        <v>-0.0049938292649784</v>
      </c>
      <c r="G77" s="2">
        <f>Inputs!$E$3*C77+Inputs!$F$3*D77</f>
        <v>0.00394872771927</v>
      </c>
      <c r="H77" s="2">
        <f>F77^2</f>
        <v>2.493833072775471e-05</v>
      </c>
      <c r="I77" s="2">
        <f>G77^2</f>
        <v>1.5592450600931258e-05</v>
      </c>
      <c r="J77" s="2">
        <f>LN(1+F77+E77)</f>
        <v>-0.004990411378746355</v>
      </c>
      <c r="K77" s="2">
        <f>LN(1+G77+E77)</f>
        <v>0.003956738795004645</v>
      </c>
      <c r="L77" s="2">
        <f>LN(1+E77)</f>
        <v>1.5849175609056888e-05</v>
      </c>
      <c r="M77" s="2">
        <f>LN(1+C77+E77)</f>
        <v>-0.007346006789237419</v>
      </c>
      <c r="N77" s="2">
        <f>LN(1+D77+E77)</f>
        <v>0.0014716373115644093</v>
      </c>
      <c r="O77" s="2">
        <f>LN(1+C77+E77+Inputs!$B$7/Inputs!$B$9)</f>
        <v>-0.007336013058868443</v>
      </c>
      <c r="P77" s="2">
        <f>LN(1+D77+E77+Inputs!$B$8/Inputs!$B$9)</f>
        <v>0.0014716373115644093</v>
      </c>
      <c r="Q77" s="2">
        <f>LN(1+E77+Inputs!$B$6/Inputs!$B$9)</f>
        <v>3.568993415596366e-05</v>
      </c>
    </row>
    <row r="78" spans="1:17">
      <c r="A78" s="3">
        <v>42482</v>
      </c>
      <c r="B78" t="s">
        <v>44</v>
      </c>
      <c r="C78" s="2">
        <v>0.004108101882765149</v>
      </c>
      <c r="D78" s="2">
        <v>0.007892549461649035</v>
      </c>
      <c r="E78" s="2">
        <v>1.592835009169671E-05</v>
      </c>
      <c r="F78" s="2">
        <f>Inputs!$E$2*C78+Inputs!$F$2*D78</f>
        <v>0.008022011183201401</v>
      </c>
      <c r="G78" s="2">
        <f>Inputs!$E$3*C78+Inputs!$F$3*D78</f>
        <v>0.0082386287891493</v>
      </c>
      <c r="H78" s="2">
        <f>F78^2</f>
        <v>6.435266342340834e-05</v>
      </c>
      <c r="I78" s="2">
        <f>G78^2</f>
        <v>6.787500432539965e-05</v>
      </c>
      <c r="J78" s="2">
        <f>LN(1+F78+E78)</f>
        <v>0.008005807366755463</v>
      </c>
      <c r="K78" s="2">
        <f>LN(1+G78+E78)</f>
        <v>0.008220674611600955</v>
      </c>
      <c r="L78" s="2">
        <f>LN(1+E78)</f>
        <v>1.5928223237188054e-05</v>
      </c>
      <c r="M78" s="2">
        <f>LN(1+C78+E78)</f>
        <v>0.004115549728086138</v>
      </c>
      <c r="N78" s="2">
        <f>LN(1+D78+E78)</f>
        <v>0.007877369705301307</v>
      </c>
      <c r="O78" s="2">
        <f>LN(1+C78+E78+Inputs!$B$7/Inputs!$B$9)</f>
        <v>0.00412542956923614</v>
      </c>
      <c r="P78" s="2">
        <f>LN(1+D78+E78+Inputs!$B$8/Inputs!$B$9)</f>
        <v>0.007877369705301307</v>
      </c>
      <c r="Q78" s="2">
        <f>LN(1+E78+Inputs!$B$6/Inputs!$B$9)</f>
        <v>3.576898021574555e-05</v>
      </c>
    </row>
    <row r="79" spans="1:17">
      <c r="A79" s="3">
        <v>42485</v>
      </c>
      <c r="B79" t="s">
        <v>44</v>
      </c>
      <c r="C79" s="2">
        <v>0.01911888204881655</v>
      </c>
      <c r="D79" s="2">
        <v>0.004102922060263433</v>
      </c>
      <c r="E79" s="2">
        <v>1.600739897552647E-05</v>
      </c>
      <c r="F79" s="2">
        <f>Inputs!$E$2*C79+Inputs!$F$2*D79</f>
        <v>0.0177568588752114</v>
      </c>
      <c r="G79" s="2">
        <f>Inputs!$E$3*C79+Inputs!$F$3*D79</f>
        <v>-0.0008121581423295001</v>
      </c>
      <c r="H79" s="2">
        <f>F79^2</f>
        <v>0.0003153060371141739</v>
      </c>
      <c r="I79" s="2">
        <f>G79^2</f>
        <v>6.596008481521045e-07</v>
      </c>
      <c r="J79" s="2">
        <f>LN(1+F79+E79)</f>
        <v>0.01761677562504107</v>
      </c>
      <c r="K79" s="2">
        <f>LN(1+G79+E79)</f>
        <v>-0.0007964678396720407</v>
      </c>
      <c r="L79" s="2">
        <f>LN(1+E79)</f>
        <v>1.6007270858848653e-05</v>
      </c>
      <c r="M79" s="2">
        <f>LN(1+C79+E79)</f>
        <v>0.01895411981529852</v>
      </c>
      <c r="N79" s="2">
        <f>LN(1+D79+E79)</f>
        <v>0.0041104698909147225</v>
      </c>
      <c r="O79" s="2">
        <f>LN(1+C79+E79+Inputs!$B$7/Inputs!$B$9)</f>
        <v>0.01896385413676876</v>
      </c>
      <c r="P79" s="2">
        <f>LN(1+D79+E79+Inputs!$B$8/Inputs!$B$9)</f>
        <v>0.0041104698909147225</v>
      </c>
      <c r="Q79" s="2">
        <f>LN(1+E79+Inputs!$B$6/Inputs!$B$9)</f>
        <v>3.584802626905711e-05</v>
      </c>
    </row>
    <row r="80" spans="1:17">
      <c r="A80" s="3">
        <v>42486</v>
      </c>
      <c r="B80" t="s">
        <v>44</v>
      </c>
      <c r="C80" s="2">
        <v>-0.009352568680990226</v>
      </c>
      <c r="D80" s="2">
        <v>0.01442475484158639</v>
      </c>
      <c r="E80" s="2">
        <v>1.608644785935622E-05</v>
      </c>
      <c r="F80" s="2">
        <f>Inputs!$E$2*C80+Inputs!$F$2*D80</f>
        <v>0.0011727979601595983</v>
      </c>
      <c r="G80" s="2">
        <f>Inputs!$E$3*C80+Inputs!$F$3*D80</f>
        <v>0.0201154764142002</v>
      </c>
      <c r="H80" s="2">
        <f>F80^2</f>
        <v>1.3754550553545145e-06</v>
      </c>
      <c r="I80" s="2">
        <f>G80^2</f>
        <v>0.00040463239137024446</v>
      </c>
      <c r="J80" s="2">
        <f>LN(1+F80+E80)</f>
        <v>0.001188178244593346</v>
      </c>
      <c r="K80" s="2">
        <f>LN(1+G80+E80)</f>
        <v>0.01993160217665959</v>
      </c>
      <c r="L80" s="2">
        <f>LN(1+E80)</f>
        <v>1.6086318473594604e-05</v>
      </c>
      <c r="M80" s="2">
        <f>LN(1+C80+E80)</f>
        <v>-0.00938034038406617</v>
      </c>
      <c r="N80" s="2">
        <f>LN(1+D80+E80)</f>
        <v>0.014337565413857554</v>
      </c>
      <c r="O80" s="2">
        <f>LN(1+C80+E80+Inputs!$B$7/Inputs!$B$9)</f>
        <v>-0.009370326302524044</v>
      </c>
      <c r="P80" s="2">
        <f>LN(1+D80+E80+Inputs!$B$8/Inputs!$B$9)</f>
        <v>0.014337565413857554</v>
      </c>
      <c r="Q80" s="2">
        <f>LN(1+E80+Inputs!$B$6/Inputs!$B$9)</f>
        <v>3.5927072315454294e-05</v>
      </c>
    </row>
    <row r="81" spans="1:17">
      <c r="A81" s="3">
        <v>42487</v>
      </c>
      <c r="B81" t="s">
        <v>44</v>
      </c>
      <c r="C81" s="2">
        <v>-0.00915594704513404</v>
      </c>
      <c r="D81" s="2">
        <v>-0.01087899869549803</v>
      </c>
      <c r="E81" s="2">
        <v>1.616549674318598E-05</v>
      </c>
      <c r="F81" s="2">
        <f>Inputs!$E$2*C81+Inputs!$F$2*D81</f>
        <v>-0.013852156853406</v>
      </c>
      <c r="G81" s="2">
        <f>Inputs!$E$3*C81+Inputs!$F$3*D81</f>
        <v>-0.0103080143210574</v>
      </c>
      <c r="H81" s="2">
        <f>F81^2</f>
        <v>0.0001918822494913628</v>
      </c>
      <c r="I81" s="2">
        <f>G81^2</f>
        <v>0.00010625515924312446</v>
      </c>
      <c r="J81" s="2">
        <f>LN(1+F81+E81)</f>
        <v>-0.013932600845559967</v>
      </c>
      <c r="K81" s="2">
        <f>LN(1+G81+E81)</f>
        <v>-0.010345176106854283</v>
      </c>
      <c r="L81" s="2">
        <f>LN(1+E81)</f>
        <v>1.616536608275815e-05</v>
      </c>
      <c r="M81" s="2">
        <f>LN(1+C81+E81)</f>
        <v>-0.00918180560823607</v>
      </c>
      <c r="N81" s="2">
        <f>LN(1+D81+E81)</f>
        <v>-0.010922264558487911</v>
      </c>
      <c r="O81" s="2">
        <f>LN(1+C81+E81+Inputs!$B$7/Inputs!$B$9)</f>
        <v>-0.009171793514630083</v>
      </c>
      <c r="P81" s="2">
        <f>LN(1+D81+E81+Inputs!$B$8/Inputs!$B$9)</f>
        <v>-0.010922264558487911</v>
      </c>
      <c r="Q81" s="2">
        <f>LN(1+E81+Inputs!$B$6/Inputs!$B$9)</f>
        <v>3.600611835626931e-05</v>
      </c>
    </row>
    <row r="82" spans="1:17">
      <c r="A82" s="3">
        <v>42488</v>
      </c>
      <c r="B82" t="s">
        <v>44</v>
      </c>
      <c r="C82" s="2">
        <v>0.009606793718728513</v>
      </c>
      <c r="D82" s="2">
        <v>0.01316572625757149</v>
      </c>
      <c r="E82" s="2">
        <v>1.624454562701575E-05</v>
      </c>
      <c r="F82" s="2">
        <f>Inputs!$E$2*C82+Inputs!$F$2*D82</f>
        <v>0.015584870729525802</v>
      </c>
      <c r="G82" s="2">
        <f>Inputs!$E$3*C82+Inputs!$F$3*D82</f>
        <v>0.0129168333934665</v>
      </c>
      <c r="H82" s="2">
        <f>F82^2</f>
        <v>0.00024288819565603008</v>
      </c>
      <c r="I82" s="2">
        <f>G82^2</f>
        <v>0.0001668445849145713</v>
      </c>
      <c r="J82" s="2">
        <f>LN(1+F82+E82)</f>
        <v>0.015480668991888276</v>
      </c>
      <c r="K82" s="2">
        <f>LN(1+G82+E82)</f>
        <v>0.012850159845472586</v>
      </c>
      <c r="L82" s="2">
        <f>LN(1+E82)</f>
        <v>1.6244413685895218e-05</v>
      </c>
      <c r="M82" s="2">
        <f>LN(1+C82+E82)</f>
        <v>0.009577031744493397</v>
      </c>
      <c r="N82" s="2">
        <f>LN(1+D82+E82)</f>
        <v>0.013095844675177501</v>
      </c>
      <c r="O82" s="2">
        <f>LN(1+C82+E82+Inputs!$B$7/Inputs!$B$9)</f>
        <v>0.009586857774412023</v>
      </c>
      <c r="P82" s="2">
        <f>LN(1+D82+E82+Inputs!$B$8/Inputs!$B$9)</f>
        <v>0.013095844675177501</v>
      </c>
      <c r="Q82" s="2">
        <f>LN(1+E82+Inputs!$B$6/Inputs!$B$9)</f>
        <v>3.608516439105808e-05</v>
      </c>
    </row>
    <row r="83" spans="1:17">
      <c r="A83" s="3">
        <v>42489</v>
      </c>
      <c r="B83" t="s">
        <v>44</v>
      </c>
      <c r="C83" s="2">
        <v>0.007129453437301443</v>
      </c>
      <c r="D83" s="2">
        <v>-2.03554657017866E-05</v>
      </c>
      <c r="E83" s="2">
        <v>1.632359451084551E-05</v>
      </c>
      <c r="F83" s="2">
        <f>Inputs!$E$2*C83+Inputs!$F$2*D83</f>
        <v>0.0056913494704196</v>
      </c>
      <c r="G83" s="2">
        <f>Inputs!$E$3*C83+Inputs!$F$3*D83</f>
        <v>-0.0021632625900326998</v>
      </c>
      <c r="H83" s="2">
        <f>F83^2</f>
        <v>3.2391458794445464e-05</v>
      </c>
      <c r="I83" s="2">
        <f>G83^2</f>
        <v>4.679705033434985e-06</v>
      </c>
      <c r="J83" s="2">
        <f>LN(1+F83+E83)</f>
        <v>0.005691446015538017</v>
      </c>
      <c r="K83" s="2">
        <f>LN(1+G83+E83)</f>
        <v>-0.0021492469730299774</v>
      </c>
      <c r="L83" s="2">
        <f>LN(1+E83)</f>
        <v>1.6323461282561718e-05</v>
      </c>
      <c r="M83" s="2">
        <f>LN(1+C83+E83)</f>
        <v>0.0071203669451838794</v>
      </c>
      <c r="N83" s="2">
        <f>LN(1+D83+E83)</f>
        <v>-4.031879319038159e-06</v>
      </c>
      <c r="O83" s="2">
        <f>LN(1+C83+E83+Inputs!$B$7/Inputs!$B$9)</f>
        <v>0.007130217143920623</v>
      </c>
      <c r="P83" s="2">
        <f>LN(1+D83+E83+Inputs!$B$8/Inputs!$B$9)</f>
        <v>-4.031879319038159e-06</v>
      </c>
      <c r="Q83" s="2">
        <f>LN(1+E83+Inputs!$B$6/Inputs!$B$9)</f>
        <v>3.6164210419376545e-05</v>
      </c>
    </row>
    <row r="84" spans="1:17">
      <c r="A84" s="3">
        <v>42492</v>
      </c>
      <c r="B84" t="s">
        <v>45</v>
      </c>
      <c r="C84" s="2">
        <v>0.02430512366451913</v>
      </c>
      <c r="D84" s="2">
        <v>0.00750755456481336</v>
      </c>
      <c r="E84" s="2">
        <v>1.640264339467527E-05</v>
      </c>
      <c r="F84" s="2">
        <f>Inputs!$E$2*C84+Inputs!$F$2*D84</f>
        <v>0.023948631670503002</v>
      </c>
      <c r="G84" s="2">
        <f>Inputs!$E$3*C84+Inputs!$F$3*D84</f>
        <v>0.001717528378419899</v>
      </c>
      <c r="H84" s="2">
        <f>F84^2</f>
        <v>0.0005735369588894194</v>
      </c>
      <c r="I84" s="2">
        <f>G84^2</f>
        <v>2.949903730677688e-06</v>
      </c>
      <c r="J84" s="2">
        <f>LN(1+F84+E84)</f>
        <v>0.023682379856488234</v>
      </c>
      <c r="K84" s="2">
        <f>LN(1+G84+E84)</f>
        <v>0.0017324294988616746</v>
      </c>
      <c r="L84" s="2">
        <f>LN(1+E84)</f>
        <v>1.6402508873201738e-05</v>
      </c>
      <c r="M84" s="2">
        <f>LN(1+C84+E84)</f>
        <v>0.024030467867676774</v>
      </c>
      <c r="N84" s="2">
        <f>LN(1+D84+E84)</f>
        <v>0.0074957934226958945</v>
      </c>
      <c r="O84" s="2">
        <f>LN(1+C84+E84+Inputs!$B$7/Inputs!$B$9)</f>
        <v>0.024040152899793273</v>
      </c>
      <c r="P84" s="2">
        <f>LN(1+D84+E84+Inputs!$B$8/Inputs!$B$9)</f>
        <v>0.0074957934226958945</v>
      </c>
      <c r="Q84" s="2">
        <f>LN(1+E84+Inputs!$B$6/Inputs!$B$9)</f>
        <v>3.624325644166877e-05</v>
      </c>
    </row>
    <row r="85" spans="1:17">
      <c r="A85" s="3">
        <v>42493</v>
      </c>
      <c r="B85" t="s">
        <v>45</v>
      </c>
      <c r="C85" s="2">
        <v>0.01422422925331487</v>
      </c>
      <c r="D85" s="2">
        <v>0.01426222866577045</v>
      </c>
      <c r="E85" s="2">
        <v>1.648169227850503E-05</v>
      </c>
      <c r="F85" s="2">
        <f>Inputs!$E$2*C85+Inputs!$F$2*D85</f>
        <v>0.019936720602114003</v>
      </c>
      <c r="G85" s="2">
        <f>Inputs!$E$3*C85+Inputs!$F$3*D85</f>
        <v>0.012847405622929499</v>
      </c>
      <c r="H85" s="2">
        <f>F85^2</f>
        <v>0.0003974728283667569</v>
      </c>
      <c r="I85" s="2">
        <f>G85^2</f>
        <v>0.0001650558312400805</v>
      </c>
      <c r="J85" s="2">
        <f>LN(1+F85+E85)</f>
        <v>0.0197567461401192</v>
      </c>
      <c r="K85" s="2">
        <f>LN(1+G85+E85)</f>
        <v>0.012781850310905347</v>
      </c>
      <c r="L85" s="2">
        <f>LN(1+E85)</f>
        <v>1.6481556457371196e-05</v>
      </c>
      <c r="M85" s="2">
        <f>LN(1+C85+E85)</f>
        <v>0.014140264517342028</v>
      </c>
      <c r="N85" s="2">
        <f>LN(1+D85+E85)</f>
        <v>0.014177729687318173</v>
      </c>
      <c r="O85" s="2">
        <f>LN(1+C85+E85+Inputs!$B$7/Inputs!$B$9)</f>
        <v>0.014150045811166426</v>
      </c>
      <c r="P85" s="2">
        <f>LN(1+D85+E85+Inputs!$B$8/Inputs!$B$9)</f>
        <v>0.014177729687318173</v>
      </c>
      <c r="Q85" s="2">
        <f>LN(1+E85+Inputs!$B$6/Inputs!$B$9)</f>
        <v>3.632230245749068e-05</v>
      </c>
    </row>
    <row r="86" spans="1:17">
      <c r="A86" s="3">
        <v>42494</v>
      </c>
      <c r="B86" t="s">
        <v>45</v>
      </c>
      <c r="C86" s="2">
        <v>0.00336438404225526</v>
      </c>
      <c r="D86" s="2">
        <v>-0.01032237223157968</v>
      </c>
      <c r="E86" s="2">
        <v>1.656074116233479E-05</v>
      </c>
      <c r="F86" s="2">
        <f>Inputs!$E$2*C86+Inputs!$F$2*D86</f>
        <v>-0.0035019161051439997</v>
      </c>
      <c r="G86" s="2">
        <f>Inputs!$E$3*C86+Inputs!$F$3*D86</f>
        <v>-0.0133961618905725</v>
      </c>
      <c r="H86" s="2">
        <f>F86^2</f>
        <v>1.2263416407466921e-05</v>
      </c>
      <c r="I86" s="2">
        <f>G86^2</f>
        <v>0.00017945715339842696</v>
      </c>
      <c r="J86" s="2">
        <f>LN(1+F86+E86)</f>
        <v>-0.003491443365002997</v>
      </c>
      <c r="K86" s="2">
        <f>LN(1+G86+E86)</f>
        <v>-0.013469914488489419</v>
      </c>
      <c r="L86" s="2">
        <f>LN(1+E86)</f>
        <v>1.656060403440397e-05</v>
      </c>
      <c r="M86" s="2">
        <f>LN(1+C86+E86)</f>
        <v>0.0033752422393123834</v>
      </c>
      <c r="N86" s="2">
        <f>LN(1+D86+E86)</f>
        <v>-0.010359284068458484</v>
      </c>
      <c r="O86" s="2">
        <f>LN(1+C86+E86+Inputs!$B$7/Inputs!$B$9)</f>
        <v>0.0033851293972546226</v>
      </c>
      <c r="P86" s="2">
        <f>LN(1+D86+E86+Inputs!$B$8/Inputs!$B$9)</f>
        <v>-0.010359284068458484</v>
      </c>
      <c r="Q86" s="2">
        <f>LN(1+E86+Inputs!$B$6/Inputs!$B$9)</f>
        <v>3.640134846617618e-05</v>
      </c>
    </row>
    <row r="87" spans="1:17">
      <c r="A87" s="3">
        <v>42495</v>
      </c>
      <c r="B87" t="s">
        <v>45</v>
      </c>
      <c r="C87" s="2">
        <v>-0.004066449087878186</v>
      </c>
      <c r="D87" s="2">
        <v>-0.01242796470647015</v>
      </c>
      <c r="E87" s="2">
        <v>1.663979004616455E-05</v>
      </c>
      <c r="F87" s="2">
        <f>Inputs!$E$2*C87+Inputs!$F$2*D87</f>
        <v>-0.0107099380941844</v>
      </c>
      <c r="G87" s="2">
        <f>Inputs!$E$3*C87+Inputs!$F$3*D87</f>
        <v>-0.013693622921400599</v>
      </c>
      <c r="H87" s="2">
        <f>F87^2</f>
        <v>0.00011470277398126218</v>
      </c>
      <c r="I87" s="2">
        <f>G87^2</f>
        <v>0.00018751530871350788</v>
      </c>
      <c r="J87" s="2">
        <f>LN(1+F87+E87)</f>
        <v>-0.01075088249632173</v>
      </c>
      <c r="K87" s="2">
        <f>LN(1+G87+E87)</f>
        <v>-0.013771374714694536</v>
      </c>
      <c r="L87" s="2">
        <f>LN(1+E87)</f>
        <v>1.663965160629843e-05</v>
      </c>
      <c r="M87" s="2">
        <f>LN(1+C87+E87)</f>
        <v>-0.004058031983220055</v>
      </c>
      <c r="N87" s="2">
        <f>LN(1+D87+E87)</f>
        <v>-0.012488988685430727</v>
      </c>
      <c r="O87" s="2">
        <f>LN(1+C87+E87+Inputs!$B$7/Inputs!$B$9)</f>
        <v>-0.004048071057860521</v>
      </c>
      <c r="P87" s="2">
        <f>LN(1+D87+E87+Inputs!$B$8/Inputs!$B$9)</f>
        <v>-0.012488988685430727</v>
      </c>
      <c r="Q87" s="2">
        <f>LN(1+E87+Inputs!$B$6/Inputs!$B$9)</f>
        <v>3.648039446972359e-05</v>
      </c>
    </row>
    <row r="88" spans="1:17">
      <c r="A88" s="3">
        <v>42496</v>
      </c>
      <c r="B88" t="s">
        <v>45</v>
      </c>
      <c r="C88" s="2">
        <v>0.002945555480660505</v>
      </c>
      <c r="D88" s="2">
        <v>-0.003386563279336713</v>
      </c>
      <c r="E88" s="2">
        <v>1.671883892999431E-05</v>
      </c>
      <c r="F88" s="2">
        <f>Inputs!$E$2*C88+Inputs!$F$2*D88</f>
        <v>0.00032450641692660046</v>
      </c>
      <c r="G88" s="2">
        <f>Inputs!$E$3*C88+Inputs!$F$3*D88</f>
        <v>-0.0049475425794026995</v>
      </c>
      <c r="H88" s="2">
        <f>F88^2</f>
        <v>1.0530441462654064e-07</v>
      </c>
      <c r="I88" s="2">
        <f>G88^2</f>
        <v>2.447817757500272e-05</v>
      </c>
      <c r="J88" s="2">
        <f>LN(1+F88+E88)</f>
        <v>0.00034116705175903713</v>
      </c>
      <c r="K88" s="2">
        <f>LN(1+G88+E88)</f>
        <v>-0.004943020361295244</v>
      </c>
      <c r="L88" s="2">
        <f>LN(1+E88)</f>
        <v>1.671869917172233e-05</v>
      </c>
      <c r="M88" s="2">
        <f>LN(1+C88+E88)</f>
        <v>0.0029578954305344058</v>
      </c>
      <c r="N88" s="2">
        <f>LN(1+D88+E88)</f>
        <v>-0.0033755351543270085</v>
      </c>
      <c r="O88" s="2">
        <f>LN(1+C88+E88+Inputs!$B$7/Inputs!$B$9)</f>
        <v>0.0029677867156912324</v>
      </c>
      <c r="P88" s="2">
        <f>LN(1+D88+E88+Inputs!$B$8/Inputs!$B$9)</f>
        <v>-0.0033755351543270085</v>
      </c>
      <c r="Q88" s="2">
        <f>LN(1+E88+Inputs!$B$6/Inputs!$B$9)</f>
        <v>3.6559440466800695e-05</v>
      </c>
    </row>
    <row r="89" spans="1:17">
      <c r="A89" s="3">
        <v>42499</v>
      </c>
      <c r="B89" t="s">
        <v>45</v>
      </c>
      <c r="C89" s="2">
        <v>-0.001877808447921318</v>
      </c>
      <c r="D89" s="2">
        <v>-0.01465928439324366</v>
      </c>
      <c r="E89" s="2">
        <v>1.679788781382407E-05</v>
      </c>
      <c r="F89" s="2">
        <f>Inputs!$E$2*C89+Inputs!$F$2*D89</f>
        <v>-0.010297817394283199</v>
      </c>
      <c r="G89" s="2">
        <f>Inputs!$E$3*C89+Inputs!$F$3*D89</f>
        <v>-0.017027798737516496</v>
      </c>
      <c r="H89" s="2">
        <f>F89^2</f>
        <v>0.00010604504308600161</v>
      </c>
      <c r="I89" s="2">
        <f>G89^2</f>
        <v>0.0002899459298453684</v>
      </c>
      <c r="J89" s="2">
        <f>LN(1+F89+E89)</f>
        <v>-0.010334234236176562</v>
      </c>
      <c r="K89" s="2">
        <f>LN(1+G89+E89)</f>
        <v>-0.01715734999596621</v>
      </c>
      <c r="L89" s="2">
        <f>LN(1+E89)</f>
        <v>1.6797746731119754e-05</v>
      </c>
      <c r="M89" s="2">
        <f>LN(1+C89+E89)</f>
        <v>-0.0018627443917126486</v>
      </c>
      <c r="N89" s="2">
        <f>LN(1+D89+E89)</f>
        <v>-0.014750745800811474</v>
      </c>
      <c r="O89" s="2">
        <f>LN(1+C89+E89+Inputs!$B$7/Inputs!$B$9)</f>
        <v>-0.0018528053093556786</v>
      </c>
      <c r="P89" s="2">
        <f>LN(1+D89+E89+Inputs!$B$8/Inputs!$B$9)</f>
        <v>-0.014750745800811474</v>
      </c>
      <c r="Q89" s="2">
        <f>LN(1+E89+Inputs!$B$6/Inputs!$B$9)</f>
        <v>3.663848645785156e-05</v>
      </c>
    </row>
    <row r="90" spans="1:17">
      <c r="A90" s="3">
        <v>42500</v>
      </c>
      <c r="B90" t="s">
        <v>45</v>
      </c>
      <c r="C90" s="2">
        <v>-0.015584412248031</v>
      </c>
      <c r="D90" s="2">
        <v>-0.01905872404337691</v>
      </c>
      <c r="E90" s="2">
        <v>1.687693669765383E-05</v>
      </c>
      <c r="F90" s="2">
        <f>Inputs!$E$2*C90+Inputs!$F$2*D90</f>
        <v>-0.023902764224451</v>
      </c>
      <c r="G90" s="2">
        <f>Inputs!$E$3*C90+Inputs!$F$3*D90</f>
        <v>-0.018195145177643098</v>
      </c>
      <c r="H90" s="2">
        <f>F90^2</f>
        <v>0.0005713421375696945</v>
      </c>
      <c r="I90" s="2">
        <f>G90^2</f>
        <v>0.00033106330803550887</v>
      </c>
      <c r="J90" s="2">
        <f>LN(1+F90+E90)</f>
        <v>-0.024175780640962197</v>
      </c>
      <c r="K90" s="2">
        <f>LN(1+G90+E90)</f>
        <v>-0.01834552299421415</v>
      </c>
      <c r="L90" s="2">
        <f>LN(1+E90)</f>
        <v>1.687679428404662e-05</v>
      </c>
      <c r="M90" s="2">
        <f>LN(1+C90+E90)</f>
        <v>-0.015689981845417374</v>
      </c>
      <c r="N90" s="2">
        <f>LN(1+D90+E90)</f>
        <v>-0.019225477927735206</v>
      </c>
      <c r="O90" s="2">
        <f>LN(1+C90+E90+Inputs!$B$7/Inputs!$B$9)</f>
        <v>-0.015679904379172438</v>
      </c>
      <c r="P90" s="2">
        <f>LN(1+D90+E90+Inputs!$B$8/Inputs!$B$9)</f>
        <v>-0.019225477927735206</v>
      </c>
      <c r="Q90" s="2">
        <f>LN(1+E90+Inputs!$B$6/Inputs!$B$9)</f>
        <v>3.6717532442432125e-05</v>
      </c>
    </row>
    <row r="91" spans="1:17">
      <c r="A91" s="3">
        <v>42501</v>
      </c>
      <c r="B91" t="s">
        <v>45</v>
      </c>
      <c r="C91" s="2">
        <v>0.0003367645943007853</v>
      </c>
      <c r="D91" s="2">
        <v>0.001117396554225485</v>
      </c>
      <c r="E91" s="2">
        <v>1.695598558148359E-05</v>
      </c>
      <c r="F91" s="2">
        <f>Inputs!$E$2*C91+Inputs!$F$2*D91</f>
        <v>0.0009398496079757999</v>
      </c>
      <c r="G91" s="2">
        <f>Inputs!$E$3*C91+Inputs!$F$3*D91</f>
        <v>0.0012398464867796998</v>
      </c>
      <c r="H91" s="2">
        <f>F91^2</f>
        <v>8.833172856122647e-07</v>
      </c>
      <c r="I91" s="2">
        <f>G91^2</f>
        <v>1.5372193107799645e-06</v>
      </c>
      <c r="J91" s="2">
        <f>LN(1+F91+E91)</f>
        <v>0.0009563481468532341</v>
      </c>
      <c r="K91" s="2">
        <f>LN(1+G91+E91)</f>
        <v>0.001256013357238798</v>
      </c>
      <c r="L91" s="2">
        <f>LN(1+E91)</f>
        <v>1.695584182983681e-05</v>
      </c>
      <c r="M91" s="2">
        <f>LN(1+C91+E91)</f>
        <v>0.0003536580355061043</v>
      </c>
      <c r="N91" s="2">
        <f>LN(1+D91+E91)</f>
        <v>0.0011337096480950005</v>
      </c>
      <c r="O91" s="2">
        <f>LN(1+C91+E91+Inputs!$B$7/Inputs!$B$9)</f>
        <v>0.00036357511336047003</v>
      </c>
      <c r="P91" s="2">
        <f>LN(1+D91+E91+Inputs!$B$8/Inputs!$B$9)</f>
        <v>0.0011337096480950005</v>
      </c>
      <c r="Q91" s="2">
        <f>LN(1+E91+Inputs!$B$6/Inputs!$B$9)</f>
        <v>3.679657841987628e-05</v>
      </c>
    </row>
    <row r="92" spans="1:17">
      <c r="A92" s="3">
        <v>42502</v>
      </c>
      <c r="B92" t="s">
        <v>45</v>
      </c>
      <c r="C92" s="2">
        <v>-0.001773407828974098</v>
      </c>
      <c r="D92" s="2">
        <v>0.01212845109784059</v>
      </c>
      <c r="E92" s="2">
        <v>1.703503446531335E-05</v>
      </c>
      <c r="F92" s="2">
        <f>Inputs!$E$2*C92+Inputs!$F$2*D92</f>
        <v>0.0058583443955253995</v>
      </c>
      <c r="G92" s="2">
        <f>Inputs!$E$3*C92+Inputs!$F$3*D92</f>
        <v>0.0150861636661014</v>
      </c>
      <c r="H92" s="2">
        <f>F92^2</f>
        <v>3.4320199056583855e-05</v>
      </c>
      <c r="I92" s="2">
        <f>G92^2</f>
        <v>0.00022759233416039801</v>
      </c>
      <c r="J92" s="2">
        <f>LN(1+F92+E92)</f>
        <v>0.005858186697947682</v>
      </c>
      <c r="K92" s="2">
        <f>LN(1+G92+E92)</f>
        <v>0.01499028092195813</v>
      </c>
      <c r="L92" s="2">
        <f>LN(1+E92)</f>
        <v>1.703488937048869e-05</v>
      </c>
      <c r="M92" s="2">
        <f>LN(1+C92+E92)</f>
        <v>-0.0017579170256341449</v>
      </c>
      <c r="N92" s="2">
        <f>LN(1+D92+E92)</f>
        <v>0.012072321532953881</v>
      </c>
      <c r="O92" s="2">
        <f>LN(1+C92+E92+Inputs!$B$7/Inputs!$B$9)</f>
        <v>-0.0017479789851052151</v>
      </c>
      <c r="P92" s="2">
        <f>LN(1+D92+E92+Inputs!$B$8/Inputs!$B$9)</f>
        <v>0.012072321532953881</v>
      </c>
      <c r="Q92" s="2">
        <f>LN(1+E92+Inputs!$B$6/Inputs!$B$9)</f>
        <v>3.687562439218234e-05</v>
      </c>
    </row>
    <row r="93" spans="1:17">
      <c r="A93" s="3">
        <v>42503</v>
      </c>
      <c r="B93" t="s">
        <v>45</v>
      </c>
      <c r="C93" s="2">
        <v>-0.002326925496883974</v>
      </c>
      <c r="D93" s="2">
        <v>-0.004703142705123802</v>
      </c>
      <c r="E93" s="2">
        <v>1.711408334914311E-05</v>
      </c>
      <c r="F93" s="2">
        <f>Inputs!$E$2*C93+Inputs!$F$2*D93</f>
        <v>-0.004683426020581601</v>
      </c>
      <c r="G93" s="2">
        <f>Inputs!$E$3*C93+Inputs!$F$3*D93</f>
        <v>-0.004945693597083601</v>
      </c>
      <c r="H93" s="2">
        <f>F93^2</f>
        <v>2.1934479290260807e-05</v>
      </c>
      <c r="I93" s="2">
        <f>G93^2</f>
        <v>2.4459885156233725e-05</v>
      </c>
      <c r="J93" s="2">
        <f>LN(1+F93+E93)</f>
        <v>-0.004677233158574973</v>
      </c>
      <c r="K93" s="2">
        <f>LN(1+G93+E93)</f>
        <v>-0.00494076501637963</v>
      </c>
      <c r="L93" s="2">
        <f>LN(1+E93)</f>
        <v>1.7113936904670013e-05</v>
      </c>
      <c r="M93" s="2">
        <f>LN(1+C93+E93)</f>
        <v>-0.0023124831428380788</v>
      </c>
      <c r="N93" s="2">
        <f>LN(1+D93+E93)</f>
        <v>-0.00469704247485403</v>
      </c>
      <c r="O93" s="2">
        <f>LN(1+C93+E93+Inputs!$B$7/Inputs!$B$9)</f>
        <v>-0.0023025395895075363</v>
      </c>
      <c r="P93" s="2">
        <f>LN(1+D93+E93+Inputs!$B$8/Inputs!$B$9)</f>
        <v>-0.00469704247485403</v>
      </c>
      <c r="Q93" s="2">
        <f>LN(1+E93+Inputs!$B$6/Inputs!$B$9)</f>
        <v>3.695467035801811e-05</v>
      </c>
    </row>
    <row r="94" spans="1:17">
      <c r="A94" s="3">
        <v>42506</v>
      </c>
      <c r="B94" t="s">
        <v>45</v>
      </c>
      <c r="C94" s="2">
        <v>-0.004316054459701337</v>
      </c>
      <c r="D94" s="2">
        <v>0.005271906221611596</v>
      </c>
      <c r="E94" s="2">
        <v>1.719313223297287E-05</v>
      </c>
      <c r="F94" s="2">
        <f>Inputs!$E$2*C94+Inputs!$F$2*D94</f>
        <v>-0.00028969983479360016</v>
      </c>
      <c r="G94" s="2">
        <f>Inputs!$E$3*C94+Inputs!$F$3*D94</f>
        <v>0.007621103803844701</v>
      </c>
      <c r="H94" s="2">
        <f>F94^2</f>
        <v>8.392599427943922e-08</v>
      </c>
      <c r="I94" s="2">
        <f>G94^2</f>
        <v>5.8081223188976166e-05</v>
      </c>
      <c r="J94" s="2">
        <f>LN(1+F94+E94)</f>
        <v>-0.0002725438392589161</v>
      </c>
      <c r="K94" s="2">
        <f>LN(1+G94+E94)</f>
        <v>0.00760927284873947</v>
      </c>
      <c r="L94" s="2">
        <f>LN(1+E94)</f>
        <v>1.7192984432824867e-05</v>
      </c>
      <c r="M94" s="2">
        <f>LN(1+C94+E94)</f>
        <v>-0.004308127998783394</v>
      </c>
      <c r="N94" s="2">
        <f>LN(1+D94+E94)</f>
        <v>0.005275161193134482</v>
      </c>
      <c r="O94" s="2">
        <f>LN(1+C94+E94+Inputs!$B$7/Inputs!$B$9)</f>
        <v>-0.004298164581936983</v>
      </c>
      <c r="P94" s="2">
        <f>LN(1+D94+E94+Inputs!$B$8/Inputs!$B$9)</f>
        <v>0.005275161193134482</v>
      </c>
      <c r="Q94" s="2">
        <f>LN(1+E94+Inputs!$B$6/Inputs!$B$9)</f>
        <v>3.703371631782765e-05</v>
      </c>
    </row>
    <row r="95" spans="1:17">
      <c r="A95" s="3">
        <v>42507</v>
      </c>
      <c r="B95" t="s">
        <v>45</v>
      </c>
      <c r="C95" s="2">
        <v>0.01758489664213548</v>
      </c>
      <c r="D95" s="2">
        <v>0.03583279493079173</v>
      </c>
      <c r="E95" s="2">
        <v>1.727218111680263E-05</v>
      </c>
      <c r="F95" s="2">
        <f>Inputs!$E$2*C95+Inputs!$F$2*D95</f>
        <v>0.0355675942721832</v>
      </c>
      <c r="G95" s="2">
        <f>Inputs!$E$3*C95+Inputs!$F$3*D95</f>
        <v>0.0377238849243099</v>
      </c>
      <c r="H95" s="2">
        <f>F95^2</f>
        <v>0.0012650537623106392</v>
      </c>
      <c r="I95" s="2">
        <f>G95^2</f>
        <v>0.0014230914937825756</v>
      </c>
      <c r="J95" s="2">
        <f>LN(1+F95+E95)</f>
        <v>0.034966355475704536</v>
      </c>
      <c r="K95" s="2">
        <f>LN(1+G95+E95)</f>
        <v>0.037046386696133304</v>
      </c>
      <c r="L95" s="2">
        <f>LN(1+E95)</f>
        <v>1.727203195450917e-05</v>
      </c>
      <c r="M95" s="2">
        <f>LN(1+C95+E95)</f>
        <v>0.017449044913607364</v>
      </c>
      <c r="N95" s="2">
        <f>LN(1+D95+E95)</f>
        <v>0.03522241049897415</v>
      </c>
      <c r="O95" s="2">
        <f>LN(1+C95+E95+Inputs!$B$7/Inputs!$B$9)</f>
        <v>0.017458793896919934</v>
      </c>
      <c r="P95" s="2">
        <f>LN(1+D95+E95+Inputs!$B$8/Inputs!$B$9)</f>
        <v>0.03522241049897415</v>
      </c>
      <c r="Q95" s="2">
        <f>LN(1+E95+Inputs!$B$6/Inputs!$B$9)</f>
        <v>3.711276227116689e-05</v>
      </c>
    </row>
    <row r="96" spans="1:17">
      <c r="A96" s="3">
        <v>42508</v>
      </c>
      <c r="B96" t="s">
        <v>45</v>
      </c>
      <c r="C96" s="2">
        <v>0.007904174771413034</v>
      </c>
      <c r="D96" s="2">
        <v>0.004875302150744499</v>
      </c>
      <c r="E96" s="2">
        <v>1.735123000063239E-05</v>
      </c>
      <c r="F96" s="2">
        <f>Inputs!$E$2*C96+Inputs!$F$2*D96</f>
        <v>0.0092485211075768</v>
      </c>
      <c r="G96" s="2">
        <f>Inputs!$E$3*C96+Inputs!$F$3*D96</f>
        <v>0.003479110149468901</v>
      </c>
      <c r="H96" s="2">
        <f>F96^2</f>
        <v>8.553514267729362e-05</v>
      </c>
      <c r="I96" s="2">
        <f>G96^2</f>
        <v>1.2104207432137518e-05</v>
      </c>
      <c r="J96" s="2">
        <f>LN(1+F96+E96)</f>
        <v>0.009223207491332335</v>
      </c>
      <c r="K96" s="2">
        <f>LN(1+G96+E96)</f>
        <v>0.0034903629694832943</v>
      </c>
      <c r="L96" s="2">
        <f>LN(1+E96)</f>
        <v>1.7351079470167003e-05</v>
      </c>
      <c r="M96" s="2">
        <f>LN(1+C96+E96)</f>
        <v>0.007890315429542398</v>
      </c>
      <c r="N96" s="2">
        <f>LN(1+D96+E96)</f>
        <v>0.004880723249699049</v>
      </c>
      <c r="O96" s="2">
        <f>LN(1+C96+E96+Inputs!$B$7/Inputs!$B$9)</f>
        <v>0.007900158047089816</v>
      </c>
      <c r="P96" s="2">
        <f>LN(1+D96+E96+Inputs!$B$8/Inputs!$B$9)</f>
        <v>0.004880723249699049</v>
      </c>
      <c r="Q96" s="2">
        <f>LN(1+E96+Inputs!$B$6/Inputs!$B$9)</f>
        <v>3.71918082184799e-05</v>
      </c>
    </row>
    <row r="97" spans="1:17">
      <c r="A97" s="3">
        <v>42509</v>
      </c>
      <c r="B97" t="s">
        <v>45</v>
      </c>
      <c r="C97" s="2">
        <v>0.01034158305099366</v>
      </c>
      <c r="D97" s="2">
        <v>-0.003746029288488785</v>
      </c>
      <c r="E97" s="2">
        <v>1.743027888446215E-05</v>
      </c>
      <c r="F97" s="2">
        <f>Inputs!$E$2*C97+Inputs!$F$2*D97</f>
        <v>0.006025648867701801</v>
      </c>
      <c r="G97" s="2">
        <f>Inputs!$E$3*C97+Inputs!$F$3*D97</f>
        <v>-0.007597710061485</v>
      </c>
      <c r="H97" s="2">
        <f>F97^2</f>
        <v>3.6308444276835995e-05</v>
      </c>
      <c r="I97" s="2">
        <f>G97^2</f>
        <v>5.77251981783904e-05</v>
      </c>
      <c r="J97" s="2">
        <f>LN(1+F97+E97)</f>
        <v>0.0060248929740085765</v>
      </c>
      <c r="K97" s="2">
        <f>LN(1+G97+E97)</f>
        <v>-0.007609156123107583</v>
      </c>
      <c r="L97" s="2">
        <f>LN(1+E97)</f>
        <v>1.743012697846612e-05</v>
      </c>
      <c r="M97" s="2">
        <f>LN(1+C97+E97)</f>
        <v>0.010305726435129708</v>
      </c>
      <c r="N97" s="2">
        <f>LN(1+D97+E97)</f>
        <v>-0.003735567562244124</v>
      </c>
      <c r="O97" s="2">
        <f>LN(1+C97+E97+Inputs!$B$7/Inputs!$B$9)</f>
        <v>0.0103155453075158</v>
      </c>
      <c r="P97" s="2">
        <f>LN(1+D97+E97+Inputs!$B$8/Inputs!$B$9)</f>
        <v>-0.003735567562244124</v>
      </c>
      <c r="Q97" s="2">
        <f>LN(1+E97+Inputs!$B$6/Inputs!$B$9)</f>
        <v>3.727085415843447e-05</v>
      </c>
    </row>
    <row r="98" spans="1:17">
      <c r="A98" s="3">
        <v>42510</v>
      </c>
      <c r="B98" t="s">
        <v>45</v>
      </c>
      <c r="C98" s="2">
        <v>-0.006286602626596327</v>
      </c>
      <c r="D98" s="2">
        <v>-0.001760040014676372</v>
      </c>
      <c r="E98" s="2">
        <v>1.750932776829191E-05</v>
      </c>
      <c r="F98" s="2">
        <f>Inputs!$E$2*C98+Inputs!$F$2*D98</f>
        <v>-0.0060853061100824</v>
      </c>
      <c r="G98" s="2">
        <f>Inputs!$E$3*C98+Inputs!$F$3*D98</f>
        <v>-0.00022606722963239984</v>
      </c>
      <c r="H98" s="2">
        <f>F98^2</f>
        <v>3.7030950453406194e-05</v>
      </c>
      <c r="I98" s="2">
        <f>G98^2</f>
        <v>5.11063923136682e-08</v>
      </c>
      <c r="J98" s="2">
        <f>LN(1+F98+E98)</f>
        <v>-0.0060862806701242065</v>
      </c>
      <c r="K98" s="2">
        <f>LN(1+G98+E98)</f>
        <v>-0.00020857965308788637</v>
      </c>
      <c r="L98" s="2">
        <f>LN(1+E98)</f>
        <v>1.7509174481404895e-05</v>
      </c>
      <c r="M98" s="2">
        <f>LN(1+C98+E98)</f>
        <v>-0.006288826580643186</v>
      </c>
      <c r="N98" s="2">
        <f>LN(1+D98+E98)</f>
        <v>-0.0017440506594946286</v>
      </c>
      <c r="O98" s="2">
        <f>LN(1+C98+E98+Inputs!$B$7/Inputs!$B$9)</f>
        <v>-0.006278843409812778</v>
      </c>
      <c r="P98" s="2">
        <f>LN(1+D98+E98+Inputs!$B$8/Inputs!$B$9)</f>
        <v>-0.0017440506594946286</v>
      </c>
      <c r="Q98" s="2">
        <f>LN(1+E98+Inputs!$B$6/Inputs!$B$9)</f>
        <v>3.7349900093028923e-05</v>
      </c>
    </row>
    <row r="99" spans="1:17">
      <c r="A99" s="3">
        <v>42513</v>
      </c>
      <c r="B99" t="s">
        <v>45</v>
      </c>
      <c r="C99" s="2">
        <v>-0.01046789610663174</v>
      </c>
      <c r="D99" s="2">
        <v>0.005511320454391403</v>
      </c>
      <c r="E99" s="2">
        <v>1.758837665212167E-05</v>
      </c>
      <c r="F99" s="2">
        <f>Inputs!$E$2*C99+Inputs!$F$2*D99</f>
        <v>-0.005067524612670999</v>
      </c>
      <c r="G99" s="2">
        <f>Inputs!$E$3*C99+Inputs!$F$3*D99</f>
        <v>0.0097539533772588</v>
      </c>
      <c r="H99" s="2">
        <f>F99^2</f>
        <v>2.5679805700026362e-05</v>
      </c>
      <c r="I99" s="2">
        <f>G99^2</f>
        <v>9.513960648573835e-05</v>
      </c>
      <c r="J99" s="2">
        <f>LN(1+F99+E99)</f>
        <v>-0.005062730254840937</v>
      </c>
      <c r="K99" s="2">
        <f>LN(1+G99+E99)</f>
        <v>0.009724108983673773</v>
      </c>
      <c r="L99" s="2">
        <f>LN(1+E99)</f>
        <v>1.7588221978317202e-05</v>
      </c>
      <c r="M99" s="2">
        <f>LN(1+C99+E99)</f>
        <v>-0.0105052956249139</v>
      </c>
      <c r="N99" s="2">
        <f>LN(1+D99+E99)</f>
        <v>0.00551368051945724</v>
      </c>
      <c r="O99" s="2">
        <f>LN(1+C99+E99+Inputs!$B$7/Inputs!$B$9)</f>
        <v>-0.010495270271695853</v>
      </c>
      <c r="P99" s="2">
        <f>LN(1+D99+E99+Inputs!$B$8/Inputs!$B$9)</f>
        <v>0.00551368051945724</v>
      </c>
      <c r="Q99" s="2">
        <f>LN(1+E99+Inputs!$B$6/Inputs!$B$9)</f>
        <v>3.7428946021597154e-05</v>
      </c>
    </row>
    <row r="100" spans="1:17">
      <c r="A100" s="3">
        <v>42514</v>
      </c>
      <c r="B100" t="s">
        <v>45</v>
      </c>
      <c r="C100" s="2">
        <v>-0.002731431946295821</v>
      </c>
      <c r="D100" s="2">
        <v>-0.003014374278594093</v>
      </c>
      <c r="E100" s="2">
        <v>1.766742553595143E-05</v>
      </c>
      <c r="F100" s="2">
        <f>Inputs!$E$2*C100+Inputs!$F$2*D100</f>
        <v>-0.0039937701241932</v>
      </c>
      <c r="G100" s="2">
        <f>Inputs!$E$3*C100+Inputs!$F$3*D100</f>
        <v>-0.0027978195504239998</v>
      </c>
      <c r="H100" s="2">
        <f>F100^2</f>
        <v>1.5950199804898167e-05</v>
      </c>
      <c r="I100" s="2">
        <f>G100^2</f>
        <v>7.827794236734752e-06</v>
      </c>
      <c r="J100" s="2">
        <f>LN(1+F100+E100)</f>
        <v>-0.003984028410932286</v>
      </c>
      <c r="K100" s="2">
        <f>LN(1+G100+E100)</f>
        <v>-0.0027840239256018027</v>
      </c>
      <c r="L100" s="2">
        <f>LN(1+E100)</f>
        <v>1.7667269468981006e-05</v>
      </c>
      <c r="M100" s="2">
        <f>LN(1+C100+E100)</f>
        <v>-0.0027174534551413737</v>
      </c>
      <c r="N100" s="2">
        <f>LN(1+D100+E100)</f>
        <v>-0.0030012059696434418</v>
      </c>
      <c r="O100" s="2">
        <f>LN(1+C100+E100+Inputs!$B$7/Inputs!$B$9)</f>
        <v>-0.0027075058741714794</v>
      </c>
      <c r="P100" s="2">
        <f>LN(1+D100+E100+Inputs!$B$8/Inputs!$B$9)</f>
        <v>-0.0030012059696434418</v>
      </c>
      <c r="Q100" s="2">
        <f>LN(1+E100+Inputs!$B$6/Inputs!$B$9)</f>
        <v>3.750799194391713e-05</v>
      </c>
    </row>
    <row r="101" spans="1:17">
      <c r="A101" s="3">
        <v>42515</v>
      </c>
      <c r="B101" t="s">
        <v>45</v>
      </c>
      <c r="C101" s="2">
        <v>0.002706334696744663</v>
      </c>
      <c r="D101" s="2">
        <v>0.008056525354162306</v>
      </c>
      <c r="E101" s="2">
        <v>1.774647441978119E-05</v>
      </c>
      <c r="F101" s="2">
        <f>Inputs!$E$2*C101+Inputs!$F$2*D101</f>
        <v>0.0069989829698931996</v>
      </c>
      <c r="G101" s="2">
        <f>Inputs!$E$3*C101+Inputs!$F$3*D101</f>
        <v>0.0088559300159709</v>
      </c>
      <c r="H101" s="2">
        <f>F101^2</f>
        <v>4.898576261285503e-05</v>
      </c>
      <c r="I101" s="2">
        <f>G101^2</f>
        <v>7.842749644777434e-05</v>
      </c>
      <c r="J101" s="2">
        <f>LN(1+F101+E101)</f>
        <v>0.006992226750675711</v>
      </c>
      <c r="K101" s="2">
        <f>LN(1+G101+E101)</f>
        <v>0.008834536794747572</v>
      </c>
      <c r="L101" s="2">
        <f>LN(1+E101)</f>
        <v>1.774631695317426e-05</v>
      </c>
      <c r="M101" s="2">
        <f>LN(1+C101+E101)</f>
        <v>0.0027203775864371926</v>
      </c>
      <c r="N101" s="2">
        <f>LN(1+D101+E101)</f>
        <v>0.008041849304389415</v>
      </c>
      <c r="O101" s="2">
        <f>LN(1+C101+E101+Inputs!$B$7/Inputs!$B$9)</f>
        <v>0.0027302712212181513</v>
      </c>
      <c r="P101" s="2">
        <f>LN(1+D101+E101+Inputs!$B$8/Inputs!$B$9)</f>
        <v>0.008041849304389415</v>
      </c>
      <c r="Q101" s="2">
        <f>LN(1+E101+Inputs!$B$6/Inputs!$B$9)</f>
        <v>3.7587037859766806e-05</v>
      </c>
    </row>
    <row r="102" spans="1:17">
      <c r="A102" s="3">
        <v>42516</v>
      </c>
      <c r="B102" t="s">
        <v>45</v>
      </c>
      <c r="C102" s="2">
        <v>-0.003124864291214937</v>
      </c>
      <c r="D102" s="2">
        <v>0.002715811160382627</v>
      </c>
      <c r="E102" s="2">
        <v>1.782552330361095E-05</v>
      </c>
      <c r="F102" s="2">
        <f>Inputs!$E$2*C102+Inputs!$F$2*D102</f>
        <v>-0.0008704047367422</v>
      </c>
      <c r="G102" s="2">
        <f>Inputs!$E$3*C102+Inputs!$F$3*D102</f>
        <v>0.0041964326798241</v>
      </c>
      <c r="H102" s="2">
        <f>F102^2</f>
        <v>7.576044057432584e-07</v>
      </c>
      <c r="I102" s="2">
        <f>G102^2</f>
        <v>1.7610047236295674e-05</v>
      </c>
      <c r="J102" s="2">
        <f>LN(1+F102+E102)</f>
        <v>-0.0008529428658054275</v>
      </c>
      <c r="K102" s="2">
        <f>LN(1+G102+E102)</f>
        <v>0.004205403086807115</v>
      </c>
      <c r="L102" s="2">
        <f>LN(1+E102)</f>
        <v>1.782536443134105e-05</v>
      </c>
      <c r="M102" s="2">
        <f>LN(1+C102+E102)</f>
        <v>-0.0031118756343497043</v>
      </c>
      <c r="N102" s="2">
        <f>LN(1+D102+E102)</f>
        <v>0.002729907094276853</v>
      </c>
      <c r="O102" s="2">
        <f>LN(1+C102+E102+Inputs!$B$7/Inputs!$B$9)</f>
        <v>-0.0031019241290789045</v>
      </c>
      <c r="P102" s="2">
        <f>LN(1+D102+E102+Inputs!$B$8/Inputs!$B$9)</f>
        <v>0.002729907094276853</v>
      </c>
      <c r="Q102" s="2">
        <f>LN(1+E102+Inputs!$B$6/Inputs!$B$9)</f>
        <v>3.7666083769590265e-05</v>
      </c>
    </row>
    <row r="103" spans="1:17">
      <c r="A103" s="3">
        <v>42517</v>
      </c>
      <c r="B103" t="s">
        <v>45</v>
      </c>
      <c r="C103" s="2">
        <v>-0.00153256920202739</v>
      </c>
      <c r="D103" s="2">
        <v>0.009959046348931976</v>
      </c>
      <c r="E103" s="2">
        <v>1.790457218744072E-05</v>
      </c>
      <c r="F103" s="2">
        <f>Inputs!$E$2*C103+Inputs!$F$2*D103</f>
        <v>0.0047493724477376004</v>
      </c>
      <c r="G103" s="2">
        <f>Inputs!$E$3*C103+Inputs!$F$3*D103</f>
        <v>0.012410626379326502</v>
      </c>
      <c r="H103" s="2">
        <f>F103^2</f>
        <v>2.2556538647329047e-05</v>
      </c>
      <c r="I103" s="2">
        <f>G103^2</f>
        <v>0.00015402364712723484</v>
      </c>
      <c r="J103" s="2">
        <f>LN(1+F103+E103)</f>
        <v>0.0047559495413852446</v>
      </c>
      <c r="K103" s="2">
        <f>LN(1+G103+E103)</f>
        <v>0.012351930792643238</v>
      </c>
      <c r="L103" s="2">
        <f>LN(1+E103)</f>
        <v>1.7904411902149138e-05</v>
      </c>
      <c r="M103" s="2">
        <f>LN(1+C103+E103)</f>
        <v>-0.0015158128939470026</v>
      </c>
      <c r="N103" s="2">
        <f>LN(1+D103+E103)</f>
        <v>0.00992750972258902</v>
      </c>
      <c r="O103" s="2">
        <f>LN(1+C103+E103+Inputs!$B$7/Inputs!$B$9)</f>
        <v>-0.0015058772591555621</v>
      </c>
      <c r="P103" s="2">
        <f>LN(1+D103+E103+Inputs!$B$8/Inputs!$B$9)</f>
        <v>0.00992750972258902</v>
      </c>
      <c r="Q103" s="2">
        <f>LN(1+E103+Inputs!$B$6/Inputs!$B$9)</f>
        <v>3.774512967205529e-05</v>
      </c>
    </row>
    <row r="104" spans="1:17">
      <c r="A104" s="3">
        <v>42521</v>
      </c>
      <c r="B104" t="s">
        <v>45</v>
      </c>
      <c r="C104" s="2">
        <v>0.0089475323047049</v>
      </c>
      <c r="D104" s="2">
        <v>0.001898281242596703</v>
      </c>
      <c r="E104" s="2">
        <v>1.798362107127047E-05</v>
      </c>
      <c r="F104" s="2">
        <f>Inputs!$E$2*C104+Inputs!$F$2*D104</f>
        <v>0.0082969945893222</v>
      </c>
      <c r="G104" s="2">
        <f>Inputs!$E$3*C104+Inputs!$F$3*D104</f>
        <v>-0.00040632220029510014</v>
      </c>
      <c r="H104" s="2">
        <f>F104^2</f>
        <v>6.884011921524187e-05</v>
      </c>
      <c r="I104" s="2">
        <f>G104^2</f>
        <v>1.6509773045265148e-07</v>
      </c>
      <c r="J104" s="2">
        <f>LN(1+F104+E104)</f>
        <v>0.008280599221301336</v>
      </c>
      <c r="K104" s="2">
        <f>LN(1+G104+E104)</f>
        <v>-0.00038841400217727394</v>
      </c>
      <c r="L104" s="2">
        <f>LN(1+E104)</f>
        <v>1.7983459367596882e-05</v>
      </c>
      <c r="M104" s="2">
        <f>LN(1+C104+E104)</f>
        <v>0.008925564301591159</v>
      </c>
      <c r="N104" s="2">
        <f>LN(1+D104+E104)</f>
        <v>0.0019144311703417473</v>
      </c>
      <c r="O104" s="2">
        <f>LN(1+C104+E104+Inputs!$B$7/Inputs!$B$9)</f>
        <v>0.008935396734902474</v>
      </c>
      <c r="P104" s="2">
        <f>LN(1+D104+E104+Inputs!$B$8/Inputs!$B$9)</f>
        <v>0.0019144311703417473</v>
      </c>
      <c r="Q104" s="2">
        <f>LN(1+E104+Inputs!$B$6/Inputs!$B$9)</f>
        <v>3.7824175569160205e-05</v>
      </c>
    </row>
    <row r="105" spans="1:17">
      <c r="A105" s="3">
        <v>42522</v>
      </c>
      <c r="B105" t="s">
        <v>46</v>
      </c>
      <c r="C105" s="2">
        <v>0.002948222992408374</v>
      </c>
      <c r="D105" s="2">
        <v>-0.0004573399939861411</v>
      </c>
      <c r="E105" s="2">
        <v>1.806266995510023E-05</v>
      </c>
      <c r="F105" s="2">
        <f>Inputs!$E$2*C105+Inputs!$F$2*D105</f>
        <v>0.0020841743975348005</v>
      </c>
      <c r="G105" s="2">
        <f>Inputs!$E$3*C105+Inputs!$F$3*D105</f>
        <v>-0.0014332748905055998</v>
      </c>
      <c r="H105" s="2">
        <f>F105^2</f>
        <v>4.343782919339549e-06</v>
      </c>
      <c r="I105" s="2">
        <f>G105^2</f>
        <v>2.054276911753839e-06</v>
      </c>
      <c r="J105" s="2">
        <f>LN(1+F105+E105)</f>
        <v>0.0021000304591473474</v>
      </c>
      <c r="K105" s="2">
        <f>LN(1+G105+E105)</f>
        <v>-0.0014162145791769634</v>
      </c>
      <c r="L105" s="2">
        <f>LN(1+E105)</f>
        <v>1.8062506827018167e-05</v>
      </c>
      <c r="M105" s="2">
        <f>LN(1+C105+E105)</f>
        <v>0.0029618949177067817</v>
      </c>
      <c r="N105" s="2">
        <f>LN(1+D105+E105)</f>
        <v>-0.0004393738345790422</v>
      </c>
      <c r="O105" s="2">
        <f>LN(1+C105+E105+Inputs!$B$7/Inputs!$B$9)</f>
        <v>0.002971786163303815</v>
      </c>
      <c r="P105" s="2">
        <f>LN(1+D105+E105+Inputs!$B$8/Inputs!$B$9)</f>
        <v>-0.0004393738345790422</v>
      </c>
      <c r="Q105" s="2">
        <f>LN(1+E105+Inputs!$B$6/Inputs!$B$9)</f>
        <v>3.79032214602389e-05</v>
      </c>
    </row>
    <row r="106" spans="1:17">
      <c r="A106" s="3">
        <v>42523</v>
      </c>
      <c r="B106" t="s">
        <v>46</v>
      </c>
      <c r="C106" s="2">
        <v>-0.008369810723500775</v>
      </c>
      <c r="D106" s="2">
        <v>-0.008522445332848336</v>
      </c>
      <c r="E106" s="2">
        <v>1.814171883892999E-05</v>
      </c>
      <c r="F106" s="2">
        <f>Inputs!$E$2*C106+Inputs!$F$2*D106</f>
        <v>-0.0118093157785096</v>
      </c>
      <c r="G106" s="2">
        <f>Inputs!$E$3*C106+Inputs!$F$3*D106</f>
        <v>-0.0077159911823672985</v>
      </c>
      <c r="H106" s="2">
        <f>F106^2</f>
        <v>0.00013945993915655578</v>
      </c>
      <c r="I106" s="2">
        <f>G106^2</f>
        <v>5.95365199263699e-05</v>
      </c>
      <c r="J106" s="2">
        <f>LN(1+F106+E106)</f>
        <v>-0.011861241280347897</v>
      </c>
      <c r="K106" s="2">
        <f>LN(1+G106+E106)</f>
        <v>-0.007727630840192468</v>
      </c>
      <c r="L106" s="2">
        <f>LN(1+E106)</f>
        <v>1.8141554279968912e-05</v>
      </c>
      <c r="M106" s="2">
        <f>LN(1+C106+E106)</f>
        <v>-0.008386739594054527</v>
      </c>
      <c r="N106" s="2">
        <f>LN(1+D106+E106)</f>
        <v>-0.008540671540036222</v>
      </c>
      <c r="O106" s="2">
        <f>LN(1+C106+E106+Inputs!$B$7/Inputs!$B$9)</f>
        <v>-0.008376735457520459</v>
      </c>
      <c r="P106" s="2">
        <f>LN(1+D106+E106+Inputs!$B$8/Inputs!$B$9)</f>
        <v>-0.008540671540036222</v>
      </c>
      <c r="Q106" s="2">
        <f>LN(1+E106+Inputs!$B$6/Inputs!$B$9)</f>
        <v>3.7982267344847306e-05</v>
      </c>
    </row>
    <row r="107" spans="1:17">
      <c r="A107" s="3">
        <v>42524</v>
      </c>
      <c r="B107" t="s">
        <v>46</v>
      </c>
      <c r="C107" s="2">
        <v>-0.003513905586883279</v>
      </c>
      <c r="D107" s="2">
        <v>-0.01274184677144465</v>
      </c>
      <c r="E107" s="2">
        <v>1.822076772275975E-05</v>
      </c>
      <c r="F107" s="2">
        <f>Inputs!$E$2*C107+Inputs!$F$2*D107</f>
        <v>-0.0104562325323734</v>
      </c>
      <c r="G107" s="2">
        <f>Inputs!$E$3*C107+Inputs!$F$3*D107</f>
        <v>-0.014236044449669099</v>
      </c>
      <c r="H107" s="2">
        <f>F107^2</f>
        <v>0.00010933279877106385</v>
      </c>
      <c r="I107" s="2">
        <f>G107^2</f>
        <v>0.00020266496157295434</v>
      </c>
      <c r="J107" s="2">
        <f>LN(1+F107+E107)</f>
        <v>-0.010492869883152215</v>
      </c>
      <c r="K107" s="2">
        <f>LN(1+G107+E107)</f>
        <v>-0.014319865298278944</v>
      </c>
      <c r="L107" s="2">
        <f>LN(1+E107)</f>
        <v>1.8220601726893198e-05</v>
      </c>
      <c r="M107" s="2">
        <f>LN(1+C107+E107)</f>
        <v>-0.003501809001644029</v>
      </c>
      <c r="N107" s="2">
        <f>LN(1+D107+E107)</f>
        <v>-0.012805264564683108</v>
      </c>
      <c r="O107" s="2">
        <f>LN(1+C107+E107+Inputs!$B$7/Inputs!$B$9)</f>
        <v>-0.003491853615211936</v>
      </c>
      <c r="P107" s="2">
        <f>LN(1+D107+E107+Inputs!$B$8/Inputs!$B$9)</f>
        <v>-0.012805264564683108</v>
      </c>
      <c r="Q107" s="2">
        <f>LN(1+E107+Inputs!$B$6/Inputs!$B$9)</f>
        <v>3.80613132234295e-05</v>
      </c>
    </row>
    <row r="108" spans="1:17">
      <c r="A108" s="3">
        <v>42527</v>
      </c>
      <c r="B108" t="s">
        <v>46</v>
      </c>
      <c r="C108" s="2">
        <v>-0.005354658377625636</v>
      </c>
      <c r="D108" s="2">
        <v>-0.00244009897454834</v>
      </c>
      <c r="E108" s="2">
        <v>1.829981660658951E-05</v>
      </c>
      <c r="F108" s="2">
        <f>Inputs!$E$2*C108+Inputs!$F$2*D108</f>
        <v>-0.0057477860868296</v>
      </c>
      <c r="G108" s="2">
        <f>Inputs!$E$3*C108+Inputs!$F$3*D108</f>
        <v>-0.0013217212561698</v>
      </c>
      <c r="H108" s="2">
        <f>F108^2</f>
        <v>3.303704489995193e-05</v>
      </c>
      <c r="I108" s="2">
        <f>G108^2</f>
        <v>1.7469470790110743e-06</v>
      </c>
      <c r="J108" s="2">
        <f>LN(1+F108+E108)</f>
        <v>-0.005745962741300189</v>
      </c>
      <c r="K108" s="2">
        <f>LN(1+G108+E108)</f>
        <v>-0.001304271632140536</v>
      </c>
      <c r="L108" s="2">
        <f>LN(1+E108)</f>
        <v>1.829964916734694e-05</v>
      </c>
      <c r="M108" s="2">
        <f>LN(1+C108+E108)</f>
        <v>-0.005350647779966238</v>
      </c>
      <c r="N108" s="2">
        <f>LN(1+D108+E108)</f>
        <v>-0.0024247364568454216</v>
      </c>
      <c r="O108" s="2">
        <f>LN(1+C108+E108+Inputs!$B$7/Inputs!$B$9)</f>
        <v>-0.0053406739706962645</v>
      </c>
      <c r="P108" s="2">
        <f>LN(1+D108+E108+Inputs!$B$8/Inputs!$B$9)</f>
        <v>-0.0024247364568454216</v>
      </c>
      <c r="Q108" s="2">
        <f>LN(1+E108+Inputs!$B$6/Inputs!$B$9)</f>
        <v>3.8140359095541406e-05</v>
      </c>
    </row>
    <row r="109" spans="1:17">
      <c r="A109" s="3">
        <v>42528</v>
      </c>
      <c r="B109" t="s">
        <v>46</v>
      </c>
      <c r="C109" s="2">
        <v>0.001747838823197649</v>
      </c>
      <c r="D109" s="2">
        <v>-0.003301975931345289</v>
      </c>
      <c r="E109" s="2">
        <v>1.837886549041927E-05</v>
      </c>
      <c r="F109" s="2">
        <f>Inputs!$E$2*C109+Inputs!$F$2*D109</f>
        <v>-0.0005829145002486</v>
      </c>
      <c r="G109" s="2">
        <f>Inputs!$E$3*C109+Inputs!$F$3*D109</f>
        <v>-0.0044867227645734005</v>
      </c>
      <c r="H109" s="2">
        <f>F109^2</f>
        <v>3.3978931460007514e-07</v>
      </c>
      <c r="I109" s="2">
        <f>G109^2</f>
        <v>2.0130681166141177e-05</v>
      </c>
      <c r="J109" s="2">
        <f>LN(1+F109+E109)</f>
        <v>-0.0005646950449980094</v>
      </c>
      <c r="K109" s="2">
        <f>LN(1+G109+E109)</f>
        <v>-0.004478356786165306</v>
      </c>
      <c r="L109" s="2">
        <f>LN(1+E109)</f>
        <v>1.837869660066403e-05</v>
      </c>
      <c r="M109" s="2">
        <f>LN(1+C109+E109)</f>
        <v>0.0017646597603832557</v>
      </c>
      <c r="N109" s="2">
        <f>LN(1+D109+E109)</f>
        <v>-0.0032889999010982988</v>
      </c>
      <c r="O109" s="2">
        <f>LN(1+C109+E109+Inputs!$B$7/Inputs!$B$9)</f>
        <v>0.001774562855160343</v>
      </c>
      <c r="P109" s="2">
        <f>LN(1+D109+E109+Inputs!$B$8/Inputs!$B$9)</f>
        <v>-0.0032889999010982988</v>
      </c>
      <c r="Q109" s="2">
        <f>LN(1+E109+Inputs!$B$6/Inputs!$B$9)</f>
        <v>3.821940496051692e-05</v>
      </c>
    </row>
    <row r="110" spans="1:17">
      <c r="A110" s="3">
        <v>42529</v>
      </c>
      <c r="B110" t="s">
        <v>46</v>
      </c>
      <c r="C110" s="2">
        <v>-0.009159829547995397</v>
      </c>
      <c r="D110" s="2">
        <v>0.002889190566242229</v>
      </c>
      <c r="E110" s="2">
        <v>1.845791437424904E-05</v>
      </c>
      <c r="F110" s="2">
        <f>Inputs!$E$2*C110+Inputs!$F$2*D110</f>
        <v>-0.0055943492986508</v>
      </c>
      <c r="G110" s="2">
        <f>Inputs!$E$3*C110+Inputs!$F$3*D110</f>
        <v>0.0062149775438889</v>
      </c>
      <c r="H110" s="2">
        <f>F110^2</f>
        <v>3.1296744075314695e-05</v>
      </c>
      <c r="I110" s="2">
        <f>G110^2</f>
        <v>3.8625945871043304e-05</v>
      </c>
      <c r="J110" s="2">
        <f>LN(1+F110+E110)</f>
        <v>-0.005591494695250809</v>
      </c>
      <c r="K110" s="2">
        <f>LN(1+G110+E110)</f>
        <v>0.006214087958756863</v>
      </c>
      <c r="L110" s="2">
        <f>LN(1+E110)</f>
        <v>1.8457744028842822e-05</v>
      </c>
      <c r="M110" s="2">
        <f>LN(1+C110+E110)</f>
        <v>-0.009183410361839221</v>
      </c>
      <c r="N110" s="2">
        <f>LN(1+D110+E110)</f>
        <v>0.002903429447105021</v>
      </c>
      <c r="O110" s="2">
        <f>LN(1+C110+E110+Inputs!$B$7/Inputs!$B$9)</f>
        <v>-0.009173398252166357</v>
      </c>
      <c r="P110" s="2">
        <f>LN(1+D110+E110+Inputs!$B$8/Inputs!$B$9)</f>
        <v>0.002903429447105021</v>
      </c>
      <c r="Q110" s="2">
        <f>LN(1+E110+Inputs!$B$6/Inputs!$B$9)</f>
        <v>3.8298450820354366e-05</v>
      </c>
    </row>
    <row r="111" spans="1:17">
      <c r="A111" s="3">
        <v>42530</v>
      </c>
      <c r="B111" t="s">
        <v>46</v>
      </c>
      <c r="C111" s="2">
        <v>-0.001228734621250518</v>
      </c>
      <c r="D111" s="2">
        <v>-0.0003193721892025475</v>
      </c>
      <c r="E111" s="2">
        <v>1.85369632580788E-05</v>
      </c>
      <c r="F111" s="2">
        <f>Inputs!$E$2*C111+Inputs!$F$2*D111</f>
        <v>-0.0011746110105226</v>
      </c>
      <c r="G111" s="2">
        <f>Inputs!$E$3*C111+Inputs!$F$3*D111</f>
        <v>-1.4626240668299964e-05</v>
      </c>
      <c r="H111" s="2">
        <f>F111^2</f>
        <v>1.3797110260409236e-06</v>
      </c>
      <c r="I111" s="2">
        <f>G111^2</f>
        <v>2.139269160870318e-10</v>
      </c>
      <c r="J111" s="2">
        <f>LN(1+F111+E111)</f>
        <v>-0.0011567428163467073</v>
      </c>
      <c r="K111" s="2">
        <f>LN(1+G111+E111)</f>
        <v>3.910714942906011e-06</v>
      </c>
      <c r="L111" s="2">
        <f>LN(1+E111)</f>
        <v>1.853679145055108e-05</v>
      </c>
      <c r="M111" s="2">
        <f>LN(1+C111+E111)</f>
        <v>-0.001210930538525151</v>
      </c>
      <c r="N111" s="2">
        <f>LN(1+D111+E111)</f>
        <v>-0.0003008804859389413</v>
      </c>
      <c r="O111" s="2">
        <f>LN(1+C111+E111+Inputs!$B$7/Inputs!$B$9)</f>
        <v>-0.0012009979324566786</v>
      </c>
      <c r="P111" s="2">
        <f>LN(1+D111+E111+Inputs!$B$8/Inputs!$B$9)</f>
        <v>-0.0003008804859389413</v>
      </c>
      <c r="Q111" s="2">
        <f>LN(1+E111+Inputs!$B$6/Inputs!$B$9)</f>
        <v>3.837749667372153e-05</v>
      </c>
    </row>
    <row r="112" spans="1:17">
      <c r="A112" s="3">
        <v>42531</v>
      </c>
      <c r="B112" t="s">
        <v>46</v>
      </c>
      <c r="C112" s="2">
        <v>0.005724335810986297</v>
      </c>
      <c r="D112" s="2">
        <v>-0.002913768888837636</v>
      </c>
      <c r="E112" s="2">
        <v>1.861601214190856E-05</v>
      </c>
      <c r="F112" s="2">
        <f>Inputs!$E$2*C112+Inputs!$F$2*D112</f>
        <v>0.0028312073154860003</v>
      </c>
      <c r="G112" s="2">
        <f>Inputs!$E$3*C112+Inputs!$F$3*D112</f>
        <v>-0.0052138234099014</v>
      </c>
      <c r="H112" s="2">
        <f>F112^2</f>
        <v>8.015734863261444e-06</v>
      </c>
      <c r="I112" s="2">
        <f>G112^2</f>
        <v>2.7183954549635865e-05</v>
      </c>
      <c r="J112" s="2">
        <f>LN(1+F112+E112)</f>
        <v>0.002845770279616518</v>
      </c>
      <c r="K112" s="2">
        <f>LN(1+G112+E112)</f>
        <v>-0.005208749410450653</v>
      </c>
      <c r="L112" s="2">
        <f>LN(1+E112)</f>
        <v>1.8615838866232883e-05</v>
      </c>
      <c r="M112" s="2">
        <f>LN(1+C112+E112)</f>
        <v>0.005726523941652164</v>
      </c>
      <c r="N112" s="2">
        <f>LN(1+D112+E112)</f>
        <v>-0.00289935193836101</v>
      </c>
      <c r="O112" s="2">
        <f>LN(1+C112+E112+Inputs!$B$7/Inputs!$B$9)</f>
        <v>0.005736387879524661</v>
      </c>
      <c r="P112" s="2">
        <f>LN(1+D112+E112+Inputs!$B$8/Inputs!$B$9)</f>
        <v>-0.00289935193836101</v>
      </c>
      <c r="Q112" s="2">
        <f>LN(1+E112+Inputs!$B$6/Inputs!$B$9)</f>
        <v>3.845654252106248e-05</v>
      </c>
    </row>
    <row r="113" spans="1:17">
      <c r="A113" s="3">
        <v>42534</v>
      </c>
      <c r="B113" t="s">
        <v>46</v>
      </c>
      <c r="C113" s="2">
        <v>0.0004620416330235685</v>
      </c>
      <c r="D113" s="2">
        <v>0.01850065410365672</v>
      </c>
      <c r="E113" s="2">
        <v>1.869506102573832E-05</v>
      </c>
      <c r="F113" s="2">
        <f>Inputs!$E$2*C113+Inputs!$F$2*D113</f>
        <v>0.0114700257686134</v>
      </c>
      <c r="G113" s="2">
        <f>Inputs!$E$3*C113+Inputs!$F$3*D113</f>
        <v>0.0220621724344812</v>
      </c>
      <c r="H113" s="2">
        <f>F113^2</f>
        <v>0.00013156149113265541</v>
      </c>
      <c r="I113" s="2">
        <f>G113^2</f>
        <v>0.00048673945252878205</v>
      </c>
      <c r="J113" s="2">
        <f>LN(1+F113+E113)</f>
        <v>0.01142322662887827</v>
      </c>
      <c r="K113" s="2">
        <f>LN(1+G113+E113)</f>
        <v>0.021840615359092434</v>
      </c>
      <c r="L113" s="2">
        <f>LN(1+E113)</f>
        <v>1.8694886275444152e-05</v>
      </c>
      <c r="M113" s="2">
        <f>LN(1+C113+E113)</f>
        <v>0.0004806211771861656</v>
      </c>
      <c r="N113" s="2">
        <f>LN(1+D113+E113)</f>
        <v>0.018349954211370825</v>
      </c>
      <c r="O113" s="2">
        <f>LN(1+C113+E113+Inputs!$B$7/Inputs!$B$9)</f>
        <v>0.0004905369960233392</v>
      </c>
      <c r="P113" s="2">
        <f>LN(1+D113+E113+Inputs!$B$8/Inputs!$B$9)</f>
        <v>0.018349954211370825</v>
      </c>
      <c r="Q113" s="2">
        <f>LN(1+E113+Inputs!$B$6/Inputs!$B$9)</f>
        <v>3.8535588361933144e-05</v>
      </c>
    </row>
    <row r="114" spans="1:17">
      <c r="A114" s="3">
        <v>42535</v>
      </c>
      <c r="B114" t="s">
        <v>46</v>
      </c>
      <c r="C114" s="2">
        <v>-0.00663753994803496</v>
      </c>
      <c r="D114" s="2">
        <v>0.003316447449911774</v>
      </c>
      <c r="E114" s="2">
        <v>1.877410990956808E-05</v>
      </c>
      <c r="F114" s="2">
        <f>Inputs!$E$2*C114+Inputs!$F$2*D114</f>
        <v>-0.0033201634884807998</v>
      </c>
      <c r="G114" s="2">
        <f>Inputs!$E$3*C114+Inputs!$F$3*D114</f>
        <v>0.0059709989243049</v>
      </c>
      <c r="H114" s="2">
        <f>F114^2</f>
        <v>1.1023485590240994e-05</v>
      </c>
      <c r="I114" s="2">
        <f>G114^2</f>
        <v>3.565282815405027e-05</v>
      </c>
      <c r="J114" s="2">
        <f>LN(1+F114+E114)</f>
        <v>-0.003306850988398642</v>
      </c>
      <c r="K114" s="2">
        <f>LN(1+G114+E114)</f>
        <v>0.005971905655908318</v>
      </c>
      <c r="L114" s="2">
        <f>LN(1+E114)</f>
        <v>1.877393367862897e-05</v>
      </c>
      <c r="M114" s="2">
        <f>LN(1+C114+E114)</f>
        <v>-0.006640767002842365</v>
      </c>
      <c r="N114" s="2">
        <f>LN(1+D114+E114)</f>
        <v>0.0033296720442148927</v>
      </c>
      <c r="O114" s="2">
        <f>LN(1+C114+E114+Inputs!$B$7/Inputs!$B$9)</f>
        <v>-0.006630780317929807</v>
      </c>
      <c r="P114" s="2">
        <f>LN(1+D114+E114+Inputs!$B$8/Inputs!$B$9)</f>
        <v>0.0033296720442148927</v>
      </c>
      <c r="Q114" s="2">
        <f>LN(1+E114+Inputs!$B$6/Inputs!$B$9)</f>
        <v>3.8614634196777606e-05</v>
      </c>
    </row>
    <row r="115" spans="1:17">
      <c r="A115" s="3">
        <v>42536</v>
      </c>
      <c r="B115" t="s">
        <v>46</v>
      </c>
      <c r="C115" s="2">
        <v>-0.004398458152630706</v>
      </c>
      <c r="D115" s="2">
        <v>0.01120405905412981</v>
      </c>
      <c r="E115" s="2">
        <v>1.885315879339784E-05</v>
      </c>
      <c r="F115" s="2">
        <f>Inputs!$E$2*C115+Inputs!$F$2*D115</f>
        <v>0.0032036689103731994</v>
      </c>
      <c r="G115" s="2">
        <f>Inputs!$E$3*C115+Inputs!$F$3*D115</f>
        <v>0.014764408310745299</v>
      </c>
      <c r="H115" s="2">
        <f>F115^2</f>
        <v>1.0263494487291803e-05</v>
      </c>
      <c r="I115" s="2">
        <f>G115^2</f>
        <v>0.00021798775276640485</v>
      </c>
      <c r="J115" s="2">
        <f>LN(1+F115+E115)</f>
        <v>0.003217340872951776</v>
      </c>
      <c r="K115" s="2">
        <f>LN(1+G115+E115)</f>
        <v>0.01467505419380824</v>
      </c>
      <c r="L115" s="2">
        <f>LN(1+E115)</f>
        <v>1.8852981074455096e-05</v>
      </c>
      <c r="M115" s="2">
        <f>LN(1+C115+E115)</f>
        <v>-0.004389223557736243</v>
      </c>
      <c r="N115" s="2">
        <f>LN(1+D115+E115)</f>
        <v>0.011160402592170205</v>
      </c>
      <c r="O115" s="2">
        <f>LN(1+C115+E115+Inputs!$B$7/Inputs!$B$9)</f>
        <v>-0.0043792593328722375</v>
      </c>
      <c r="P115" s="2">
        <f>LN(1+D115+E115+Inputs!$B$8/Inputs!$B$9)</f>
        <v>0.011160402592170205</v>
      </c>
      <c r="Q115" s="2">
        <f>LN(1+E115+Inputs!$B$6/Inputs!$B$9)</f>
        <v>3.869368002426364e-05</v>
      </c>
    </row>
    <row r="116" spans="1:17">
      <c r="A116" s="3">
        <v>42537</v>
      </c>
      <c r="B116" t="s">
        <v>46</v>
      </c>
      <c r="C116" s="2">
        <v>0.001156031783161047</v>
      </c>
      <c r="D116" s="2">
        <v>-0.008987041011019461</v>
      </c>
      <c r="E116" s="2">
        <v>1.89322076772276E-05</v>
      </c>
      <c r="F116" s="2">
        <f>Inputs!$E$2*C116+Inputs!$F$2*D116</f>
        <v>-0.004467399180082599</v>
      </c>
      <c r="G116" s="2">
        <f>Inputs!$E$3*C116+Inputs!$F$3*D116</f>
        <v>-0.011131258748171098</v>
      </c>
      <c r="H116" s="2">
        <f>F116^2</f>
        <v>1.9957655434202683e-05</v>
      </c>
      <c r="I116" s="2">
        <f>G116^2</f>
        <v>0.0001239049213187356</v>
      </c>
      <c r="J116" s="2">
        <f>LN(1+F116+E116)</f>
        <v>-0.004458390843218372</v>
      </c>
      <c r="K116" s="2">
        <f>LN(1+G116+E116)</f>
        <v>-0.011174529684773464</v>
      </c>
      <c r="L116" s="2">
        <f>LN(1+E116)</f>
        <v>1.893202846492089e-05</v>
      </c>
      <c r="M116" s="2">
        <f>LN(1+C116+E116)</f>
        <v>0.0011742742608669993</v>
      </c>
      <c r="N116" s="2">
        <f>LN(1+D116+E116)</f>
        <v>-0.009008564345865978</v>
      </c>
      <c r="O116" s="2">
        <f>LN(1+C116+E116+Inputs!$B$7/Inputs!$B$9)</f>
        <v>0.0011841832039848944</v>
      </c>
      <c r="P116" s="2">
        <f>LN(1+D116+E116+Inputs!$B$8/Inputs!$B$9)</f>
        <v>-0.009008564345865978</v>
      </c>
      <c r="Q116" s="2">
        <f>LN(1+E116+Inputs!$B$6/Inputs!$B$9)</f>
        <v>3.877272584638958e-05</v>
      </c>
    </row>
    <row r="117" spans="1:17">
      <c r="A117" s="3">
        <v>42538</v>
      </c>
      <c r="B117" t="s">
        <v>46</v>
      </c>
      <c r="C117" s="2">
        <v>0.003685963083191091</v>
      </c>
      <c r="D117" s="2">
        <v>0.009540030870212313</v>
      </c>
      <c r="E117" s="2">
        <v>1.901125656105736E-05</v>
      </c>
      <c r="F117" s="2">
        <f>Inputs!$E$2*C117+Inputs!$F$2*D117</f>
        <v>0.00867278898868</v>
      </c>
      <c r="G117" s="2">
        <f>Inputs!$E$3*C117+Inputs!$F$3*D117</f>
        <v>0.010342248119297098</v>
      </c>
      <c r="H117" s="2">
        <f>F117^2</f>
        <v>7.521726884216905e-05</v>
      </c>
      <c r="I117" s="2">
        <f>G117^2</f>
        <v>0.00010696209616110437</v>
      </c>
      <c r="J117" s="2">
        <f>LN(1+F117+E117)</f>
        <v>0.00865424401343282</v>
      </c>
      <c r="K117" s="2">
        <f>LN(1+G117+E117)</f>
        <v>0.010307949450368808</v>
      </c>
      <c r="L117" s="2">
        <f>LN(1+E117)</f>
        <v>1.9011075849360235e-05</v>
      </c>
      <c r="M117" s="2">
        <f>LN(1+C117+E117)</f>
        <v>0.0036981278278791435</v>
      </c>
      <c r="N117" s="2">
        <f>LN(1+D117+E117)</f>
        <v>0.009513643565461971</v>
      </c>
      <c r="O117" s="2">
        <f>LN(1+C117+E117+Inputs!$B$7/Inputs!$B$9)</f>
        <v>0.003708011793931683</v>
      </c>
      <c r="P117" s="2">
        <f>LN(1+D117+E117+Inputs!$B$8/Inputs!$B$9)</f>
        <v>0.009513643565461971</v>
      </c>
      <c r="Q117" s="2">
        <f>LN(1+E117+Inputs!$B$6/Inputs!$B$9)</f>
        <v>3.885177166248932e-05</v>
      </c>
    </row>
    <row r="118" spans="1:17">
      <c r="A118" s="3">
        <v>42541</v>
      </c>
      <c r="B118" t="s">
        <v>46</v>
      </c>
      <c r="C118" s="2">
        <v>0.006073159129424278</v>
      </c>
      <c r="D118" s="2">
        <v>0.01104974165377881</v>
      </c>
      <c r="E118" s="2">
        <v>1.909030544488712E-05</v>
      </c>
      <c r="F118" s="2">
        <f>Inputs!$E$2*C118+Inputs!$F$2*D118</f>
        <v>0.0114883722958066</v>
      </c>
      <c r="G118" s="2">
        <f>Inputs!$E$3*C118+Inputs!$F$3*D118</f>
        <v>0.011437742245707599</v>
      </c>
      <c r="H118" s="2">
        <f>F118^2</f>
        <v>0.0001319826980070566</v>
      </c>
      <c r="I118" s="2">
        <f>G118^2</f>
        <v>0.0001308219476792443</v>
      </c>
      <c r="J118" s="2">
        <f>LN(1+F118+E118)</f>
        <v>0.011441755355493027</v>
      </c>
      <c r="K118" s="2">
        <f>LN(1+G118+E118)</f>
        <v>0.011391700047813341</v>
      </c>
      <c r="L118" s="2">
        <f>LN(1+E118)</f>
        <v>1.9090123227329052e-05</v>
      </c>
      <c r="M118" s="2">
        <f>LN(1+C118+E118)</f>
        <v>0.006073766712861589</v>
      </c>
      <c r="N118" s="2">
        <f>LN(1+D118+E118)</f>
        <v>0.011008020766509878</v>
      </c>
      <c r="O118" s="2">
        <f>LN(1+C118+E118+Inputs!$B$7/Inputs!$B$9)</f>
        <v>0.006083627226164464</v>
      </c>
      <c r="P118" s="2">
        <f>LN(1+D118+E118+Inputs!$B$8/Inputs!$B$9)</f>
        <v>0.011008020766509878</v>
      </c>
      <c r="Q118" s="2">
        <f>LN(1+E118+Inputs!$B$6/Inputs!$B$9)</f>
        <v>3.893081747211877e-05</v>
      </c>
    </row>
    <row r="119" spans="1:17">
      <c r="A119" s="3">
        <v>42542</v>
      </c>
      <c r="B119" t="s">
        <v>46</v>
      </c>
      <c r="C119" s="2">
        <v>-0.0007703511416515017</v>
      </c>
      <c r="D119" s="2">
        <v>0.004519093512196727</v>
      </c>
      <c r="E119" s="2">
        <v>1.916935432871688E-05</v>
      </c>
      <c r="F119" s="2">
        <f>Inputs!$E$2*C119+Inputs!$F$2*D119</f>
        <v>0.0020951751939966</v>
      </c>
      <c r="G119" s="2">
        <f>Inputs!$E$3*C119+Inputs!$F$3*D119</f>
        <v>0.005654017557132</v>
      </c>
      <c r="H119" s="2">
        <f>F119^2</f>
        <v>4.3897590935386905e-06</v>
      </c>
      <c r="I119" s="2">
        <f>G119^2</f>
        <v>3.196791453635691e-05</v>
      </c>
      <c r="J119" s="2">
        <f>LN(1+F119+E119)</f>
        <v>0.00211211246759583</v>
      </c>
      <c r="K119" s="2">
        <f>LN(1+G119+E119)</f>
        <v>0.005657154992729583</v>
      </c>
      <c r="L119" s="2">
        <f>LN(1+E119)</f>
        <v>1.9169170599271423e-05</v>
      </c>
      <c r="M119" s="2">
        <f>LN(1+C119+E119)</f>
        <v>-0.0007514640657322853</v>
      </c>
      <c r="N119" s="2">
        <f>LN(1+D119+E119)</f>
        <v>0.0045279960023696325</v>
      </c>
      <c r="O119" s="2">
        <f>LN(1+C119+E119+Inputs!$B$7/Inputs!$B$9)</f>
        <v>-0.000741536022292367</v>
      </c>
      <c r="P119" s="2">
        <f>LN(1+D119+E119+Inputs!$B$8/Inputs!$B$9)</f>
        <v>0.0045279960023696325</v>
      </c>
      <c r="Q119" s="2">
        <f>LN(1+E119+Inputs!$B$6/Inputs!$B$9)</f>
        <v>3.9009863275722024e-05</v>
      </c>
    </row>
    <row r="120" spans="1:17">
      <c r="A120" s="3">
        <v>42543</v>
      </c>
      <c r="B120" t="s">
        <v>46</v>
      </c>
      <c r="C120" s="2">
        <v>-0.008623289544313188</v>
      </c>
      <c r="D120" s="2">
        <v>-0.007584701528896121</v>
      </c>
      <c r="E120" s="2">
        <v>1.924840321254664E-05</v>
      </c>
      <c r="F120" s="2">
        <f>Inputs!$E$2*C120+Inputs!$F$2*D120</f>
        <v>-0.011449452552788</v>
      </c>
      <c r="G120" s="2">
        <f>Inputs!$E$3*C120+Inputs!$F$3*D120</f>
        <v>-0.0065146549713813</v>
      </c>
      <c r="H120" s="2">
        <f>F120^2</f>
        <v>0.00013108996375854365</v>
      </c>
      <c r="I120" s="2">
        <f>G120^2</f>
        <v>4.244072939614309e-05</v>
      </c>
      <c r="J120" s="2">
        <f>LN(1+F120+E120)</f>
        <v>-0.011496031023489853</v>
      </c>
      <c r="K120" s="2">
        <f>LN(1+G120+E120)</f>
        <v>-0.006516593516472931</v>
      </c>
      <c r="L120" s="2">
        <f>LN(1+E120)</f>
        <v>1.9248217964965307e-05</v>
      </c>
      <c r="M120" s="2">
        <f>LN(1+C120+E120)</f>
        <v>-0.00864126960036022</v>
      </c>
      <c r="N120" s="2">
        <f>LN(1+D120+E120)</f>
        <v>-0.007594216329124634</v>
      </c>
      <c r="O120" s="2">
        <f>LN(1+C120+E120+Inputs!$B$7/Inputs!$B$9)</f>
        <v>-0.00863126291716187</v>
      </c>
      <c r="P120" s="2">
        <f>LN(1+D120+E120+Inputs!$B$8/Inputs!$B$9)</f>
        <v>-0.007594216329124634</v>
      </c>
      <c r="Q120" s="2">
        <f>LN(1+E120+Inputs!$B$6/Inputs!$B$9)</f>
        <v>3.908890907307704e-05</v>
      </c>
    </row>
    <row r="121" spans="1:17">
      <c r="A121" s="3">
        <v>42544</v>
      </c>
      <c r="B121" t="s">
        <v>46</v>
      </c>
      <c r="C121" s="2">
        <v>0.01018753690895249</v>
      </c>
      <c r="D121" s="2">
        <v>0.01146796886003583</v>
      </c>
      <c r="E121" s="2">
        <v>1.93274520963764E-05</v>
      </c>
      <c r="F121" s="2">
        <f>Inputs!$E$2*C121+Inputs!$F$2*D121</f>
        <v>0.015030810843183199</v>
      </c>
      <c r="G121" s="2">
        <f>Inputs!$E$3*C121+Inputs!$F$3*D121</f>
        <v>0.010705301559357599</v>
      </c>
      <c r="H121" s="2">
        <f>F121^2</f>
        <v>0.00022592527460355363</v>
      </c>
      <c r="I121" s="2">
        <f>G121^2</f>
        <v>0.00011460348147678424</v>
      </c>
      <c r="J121" s="2">
        <f>LN(1+F121+E121)</f>
        <v>0.014938008608992945</v>
      </c>
      <c r="K121" s="2">
        <f>LN(1+G121+E121)</f>
        <v>0.01066752807253289</v>
      </c>
      <c r="L121" s="2">
        <f>LN(1+E121)</f>
        <v>1.9327265323300504e-05</v>
      </c>
      <c r="M121" s="2">
        <f>LN(1+C121+E121)</f>
        <v>0.010155126080251368</v>
      </c>
      <c r="N121" s="2">
        <f>LN(1+D121+E121)</f>
        <v>0.01142181829037599</v>
      </c>
      <c r="O121" s="2">
        <f>LN(1+C121+E121+Inputs!$B$7/Inputs!$B$9)</f>
        <v>0.010164946431467219</v>
      </c>
      <c r="P121" s="2">
        <f>LN(1+D121+E121+Inputs!$B$8/Inputs!$B$9)</f>
        <v>0.01142181829037599</v>
      </c>
      <c r="Q121" s="2">
        <f>LN(1+E121+Inputs!$B$6/Inputs!$B$9)</f>
        <v>3.916795486307364e-05</v>
      </c>
    </row>
    <row r="122" spans="1:17">
      <c r="A122" s="3">
        <v>42545</v>
      </c>
      <c r="B122" t="s">
        <v>46</v>
      </c>
      <c r="C122" s="2">
        <v>0.00241831526637865</v>
      </c>
      <c r="D122" s="2">
        <v>-0.006196200170890924</v>
      </c>
      <c r="E122" s="2">
        <v>1.940650098020616E-05</v>
      </c>
      <c r="F122" s="2">
        <f>Inputs!$E$2*C122+Inputs!$F$2*D122</f>
        <v>-0.0017830678894313996</v>
      </c>
      <c r="G122" s="2">
        <f>Inputs!$E$3*C122+Inputs!$F$3*D122</f>
        <v>-0.0081609347849829</v>
      </c>
      <c r="H122" s="2">
        <f>F122^2</f>
        <v>3.179331098321346e-06</v>
      </c>
      <c r="I122" s="2">
        <f>G122^2</f>
        <v>6.660085656474389e-05</v>
      </c>
      <c r="J122" s="2">
        <f>LN(1+F122+E122)</f>
        <v>-0.0017652184702439835</v>
      </c>
      <c r="K122" s="2">
        <f>LN(1+G122+E122)</f>
        <v>-0.008174851516677606</v>
      </c>
      <c r="L122" s="2">
        <f>LN(1+E122)</f>
        <v>1.9406312676275378e-05</v>
      </c>
      <c r="M122" s="2">
        <f>LN(1+C122+E122)</f>
        <v>0.002434755343550686</v>
      </c>
      <c r="N122" s="2">
        <f>LN(1+D122+E122)</f>
        <v>-0.006195948979597574</v>
      </c>
      <c r="O122" s="2">
        <f>LN(1+C122+E122+Inputs!$B$7/Inputs!$B$9)</f>
        <v>0.0024446518045634163</v>
      </c>
      <c r="P122" s="2">
        <f>LN(1+D122+E122+Inputs!$B$8/Inputs!$B$9)</f>
        <v>-0.006195948979597574</v>
      </c>
      <c r="Q122" s="2">
        <f>LN(1+E122+Inputs!$B$6/Inputs!$B$9)</f>
        <v>3.924700064771014e-05</v>
      </c>
    </row>
    <row r="123" spans="1:17">
      <c r="A123" s="3">
        <v>42548</v>
      </c>
      <c r="B123" t="s">
        <v>46</v>
      </c>
      <c r="C123" s="2">
        <v>0.003121268656883145</v>
      </c>
      <c r="D123" s="2">
        <v>-0.01344960763484474</v>
      </c>
      <c r="E123" s="2">
        <v>1.948554986403592E-05</v>
      </c>
      <c r="F123" s="2">
        <f>Inputs!$E$2*C123+Inputs!$F$2*D123</f>
        <v>-0.005572749655400599</v>
      </c>
      <c r="G123" s="2">
        <f>Inputs!$E$3*C123+Inputs!$F$3*D123</f>
        <v>-0.0170759097588789</v>
      </c>
      <c r="H123" s="2">
        <f>F123^2</f>
        <v>3.10555387217675e-05</v>
      </c>
      <c r="I123" s="2">
        <f>G123^2</f>
        <v>0.0002915866940933757</v>
      </c>
      <c r="J123" s="2">
        <f>LN(1+F123+E123)</f>
        <v>-0.005568740800694435</v>
      </c>
      <c r="K123" s="2">
        <f>LN(1+G123+E123)</f>
        <v>-0.01720356049158485</v>
      </c>
      <c r="L123" s="2">
        <f>LN(1+E123)</f>
        <v>1.9485360023223806e-05</v>
      </c>
      <c r="M123" s="2">
        <f>LN(1+C123+E123)</f>
        <v>0.0031358323411406833</v>
      </c>
      <c r="N123" s="2">
        <f>LN(1+D123+E123)</f>
        <v>-0.013521121851688488</v>
      </c>
      <c r="O123" s="2">
        <f>LN(1+C123+E123+Inputs!$B$7/Inputs!$B$9)</f>
        <v>0.003145721866438067</v>
      </c>
      <c r="P123" s="2">
        <f>LN(1+D123+E123+Inputs!$B$8/Inputs!$B$9)</f>
        <v>-0.013521121851688488</v>
      </c>
      <c r="Q123" s="2">
        <f>LN(1+E123+Inputs!$B$6/Inputs!$B$9)</f>
        <v>3.9326046426320446e-05</v>
      </c>
    </row>
    <row r="124" spans="1:17">
      <c r="A124" s="3">
        <v>42549</v>
      </c>
      <c r="B124" t="s">
        <v>46</v>
      </c>
      <c r="C124" s="2">
        <v>0.002350932948455018</v>
      </c>
      <c r="D124" s="2">
        <v>-0.01479705589949107</v>
      </c>
      <c r="E124" s="2">
        <v>1.956459874786568E-05</v>
      </c>
      <c r="F124" s="2">
        <f>Inputs!$E$2*C124+Inputs!$F$2*D124</f>
        <v>-0.0069974871809306005</v>
      </c>
      <c r="G124" s="2">
        <f>Inputs!$E$3*C124+Inputs!$F$3*D124</f>
        <v>-0.0184617469639257</v>
      </c>
      <c r="H124" s="2">
        <f>F124^2</f>
        <v>4.896482684728808e-05</v>
      </c>
      <c r="I124" s="2">
        <f>G124^2</f>
        <v>0.0003408361009600198</v>
      </c>
      <c r="J124" s="2">
        <f>LN(1+F124+E124)</f>
        <v>-0.0070023821349535645</v>
      </c>
      <c r="K124" s="2">
        <f>LN(1+G124+E124)</f>
        <v>-0.01861435957846361</v>
      </c>
      <c r="L124" s="2">
        <f>LN(1+E124)</f>
        <v>1.9564407363701715e-05</v>
      </c>
      <c r="M124" s="2">
        <f>LN(1+C124+E124)</f>
        <v>0.0023676923501595123</v>
      </c>
      <c r="N124" s="2">
        <f>LN(1+D124+E124)</f>
        <v>-0.014887766164362954</v>
      </c>
      <c r="O124" s="2">
        <f>LN(1+C124+E124+Inputs!$B$7/Inputs!$B$9)</f>
        <v>0.0023775894748775126</v>
      </c>
      <c r="P124" s="2">
        <f>LN(1+D124+E124+Inputs!$B$8/Inputs!$B$9)</f>
        <v>-0.014887766164362954</v>
      </c>
      <c r="Q124" s="2">
        <f>LN(1+E124+Inputs!$B$6/Inputs!$B$9)</f>
        <v>3.940509219846048e-05</v>
      </c>
    </row>
    <row r="125" spans="1:17">
      <c r="A125" s="3">
        <v>42550</v>
      </c>
      <c r="B125" t="s">
        <v>46</v>
      </c>
      <c r="C125" s="2">
        <v>-0.006734299227008262</v>
      </c>
      <c r="D125" s="2">
        <v>0.0009888146803454542</v>
      </c>
      <c r="E125" s="2">
        <v>1.964364763169544E-05</v>
      </c>
      <c r="F125" s="2">
        <f>Inputs!$E$2*C125+Inputs!$F$2*D125</f>
        <v>-0.0047941505733994005</v>
      </c>
      <c r="G125" s="2">
        <f>Inputs!$E$3*C125+Inputs!$F$3*D125</f>
        <v>0.0032068673845164</v>
      </c>
      <c r="H125" s="2">
        <f>F125^2</f>
        <v>2.2983879720425802e-05</v>
      </c>
      <c r="I125" s="2">
        <f>G125^2</f>
        <v>1.0283998421875056e-05</v>
      </c>
      <c r="J125" s="2">
        <f>LN(1+F125+E125)</f>
        <v>-0.004785941294124723</v>
      </c>
      <c r="K125" s="2">
        <f>LN(1+G125+E125)</f>
        <v>0.003221317014798958</v>
      </c>
      <c r="L125" s="2">
        <f>LN(1+E125)</f>
        <v>1.964345469815318e-05</v>
      </c>
      <c r="M125" s="2">
        <f>LN(1+C125+E125)</f>
        <v>-0.006737300303758876</v>
      </c>
      <c r="N125" s="2">
        <f>LN(1+D125+E125)</f>
        <v>0.0010079501754824396</v>
      </c>
      <c r="O125" s="2">
        <f>LN(1+C125+E125+Inputs!$B$7/Inputs!$B$9)</f>
        <v>-0.00672731265475694</v>
      </c>
      <c r="P125" s="2">
        <f>LN(1+D125+E125+Inputs!$B$8/Inputs!$B$9)</f>
        <v>0.0010079501754824396</v>
      </c>
      <c r="Q125" s="2">
        <f>LN(1+E125+Inputs!$B$6/Inputs!$B$9)</f>
        <v>3.948413796457432e-05</v>
      </c>
    </row>
    <row r="126" spans="1:17">
      <c r="A126" s="3">
        <v>42551</v>
      </c>
      <c r="B126" t="s">
        <v>46</v>
      </c>
      <c r="C126" s="2">
        <v>-0.001933983499868316</v>
      </c>
      <c r="D126" s="2">
        <v>-0.004330938065080617</v>
      </c>
      <c r="E126" s="2">
        <v>1.97226965155252E-05</v>
      </c>
      <c r="F126" s="2">
        <f>Inputs!$E$2*C126+Inputs!$F$2*D126</f>
        <v>-0.004145749638943</v>
      </c>
      <c r="G126" s="2">
        <f>Inputs!$E$3*C126+Inputs!$F$3*D126</f>
        <v>-0.0046169306281367995</v>
      </c>
      <c r="H126" s="2">
        <f>F126^2</f>
        <v>1.7187240068796012e-05</v>
      </c>
      <c r="I126" s="2">
        <f>G126^2</f>
        <v>2.1316048425027664e-05</v>
      </c>
      <c r="J126" s="2">
        <f>LN(1+F126+E126)</f>
        <v>-0.004134562478249607</v>
      </c>
      <c r="K126" s="2">
        <f>LN(1+G126+E126)</f>
        <v>-0.004607807590370317</v>
      </c>
      <c r="L126" s="2">
        <f>LN(1+E126)</f>
        <v>1.9722502026134126e-05</v>
      </c>
      <c r="M126" s="2">
        <f>LN(1+C126+E126)</f>
        <v>-0.0019160953421279217</v>
      </c>
      <c r="N126" s="2">
        <f>LN(1+D126+E126)</f>
        <v>-0.004320535454453129</v>
      </c>
      <c r="O126" s="2">
        <f>LN(1+C126+E126+Inputs!$B$7/Inputs!$B$9)</f>
        <v>-0.0019061557294999516</v>
      </c>
      <c r="P126" s="2">
        <f>LN(1+D126+E126+Inputs!$B$8/Inputs!$B$9)</f>
        <v>-0.004320535454453129</v>
      </c>
      <c r="Q126" s="2">
        <f>LN(1+E126+Inputs!$B$6/Inputs!$B$9)</f>
        <v>3.956318372421789e-05</v>
      </c>
    </row>
    <row r="127" spans="1:17">
      <c r="A127" s="3">
        <v>42552</v>
      </c>
      <c r="B127" t="s">
        <v>47</v>
      </c>
      <c r="C127" s="2">
        <v>0.001940145222009131</v>
      </c>
      <c r="D127" s="2">
        <v>0.007709208549122928</v>
      </c>
      <c r="E127" s="2">
        <v>1.980174539935496E-05</v>
      </c>
      <c r="F127" s="2">
        <f>Inputs!$E$2*C127+Inputs!$F$2*D127</f>
        <v>0.006177641307081</v>
      </c>
      <c r="G127" s="2">
        <f>Inputs!$E$3*C127+Inputs!$F$3*D127</f>
        <v>0.0086690066923449</v>
      </c>
      <c r="H127" s="2">
        <f>F127^2</f>
        <v>3.816325211895344e-05</v>
      </c>
      <c r="I127" s="2">
        <f>G127^2</f>
        <v>7.515167703192066e-05</v>
      </c>
      <c r="J127" s="2">
        <f>LN(1+F127+E127)</f>
        <v>0.006178317879723525</v>
      </c>
      <c r="K127" s="2">
        <f>LN(1+G127+E127)</f>
        <v>0.008651277981654581</v>
      </c>
      <c r="L127" s="2">
        <f>LN(1+E127)</f>
        <v>1.980154934697843e-05</v>
      </c>
      <c r="M127" s="2">
        <f>LN(1+C127+E127)</f>
        <v>0.001958028777308651</v>
      </c>
      <c r="N127" s="2">
        <f>LN(1+D127+E127)</f>
        <v>0.007699294511966857</v>
      </c>
      <c r="O127" s="2">
        <f>LN(1+C127+E127+Inputs!$B$7/Inputs!$B$9)</f>
        <v>0.00196792995732865</v>
      </c>
      <c r="P127" s="2">
        <f>LN(1+D127+E127+Inputs!$B$8/Inputs!$B$9)</f>
        <v>0.007699294511966857</v>
      </c>
      <c r="Q127" s="2">
        <f>LN(1+E127+Inputs!$B$6/Inputs!$B$9)</f>
        <v>3.964222947672508e-05</v>
      </c>
    </row>
    <row r="128" spans="1:17">
      <c r="A128" s="3">
        <v>42556</v>
      </c>
      <c r="B128" t="s">
        <v>47</v>
      </c>
      <c r="C128" s="2">
        <v>0.006878366228852227</v>
      </c>
      <c r="D128" s="2">
        <v>0.006393553318636494</v>
      </c>
      <c r="E128" s="2">
        <v>1.988079428318472E-05</v>
      </c>
      <c r="F128" s="2">
        <f>Inputs!$E$2*C128+Inputs!$F$2*D128</f>
        <v>0.0093388249742632</v>
      </c>
      <c r="G128" s="2">
        <f>Inputs!$E$3*C128+Inputs!$F$3*D128</f>
        <v>0.005608754113707599</v>
      </c>
      <c r="H128" s="2">
        <f>F128^2</f>
        <v>8.721365189992207e-05</v>
      </c>
      <c r="I128" s="2">
        <f>G128^2</f>
        <v>3.1458122708031916e-05</v>
      </c>
      <c r="J128" s="2">
        <f>LN(1+F128+E128)</f>
        <v>0.009315184406743704</v>
      </c>
      <c r="K128" s="2">
        <f>LN(1+G128+E128)</f>
        <v>0.005612853333978629</v>
      </c>
      <c r="L128" s="2">
        <f>LN(1+E128)</f>
        <v>1.988059666268446e-05</v>
      </c>
      <c r="M128" s="2">
        <f>LN(1+C128+E128)</f>
        <v>0.0068745629737048675</v>
      </c>
      <c r="N128" s="2">
        <f>LN(1+D128+E128)</f>
        <v>0.006392955556304427</v>
      </c>
      <c r="O128" s="2">
        <f>LN(1+C128+E128+Inputs!$B$7/Inputs!$B$9)</f>
        <v>0.0068844155939452485</v>
      </c>
      <c r="P128" s="2">
        <f>LN(1+D128+E128+Inputs!$B$8/Inputs!$B$9)</f>
        <v>0.006392955556304427</v>
      </c>
      <c r="Q128" s="2">
        <f>LN(1+E128+Inputs!$B$6/Inputs!$B$9)</f>
        <v>3.972127522409422e-05</v>
      </c>
    </row>
    <row r="129" spans="1:17">
      <c r="A129" s="3">
        <v>42557</v>
      </c>
      <c r="B129" t="s">
        <v>47</v>
      </c>
      <c r="C129" s="2">
        <v>0.0006301668565527661</v>
      </c>
      <c r="D129" s="2">
        <v>0.01243107529562512</v>
      </c>
      <c r="E129" s="2">
        <v>1.995984316701448E-05</v>
      </c>
      <c r="F129" s="2">
        <f>Inputs!$E$2*C129+Inputs!$F$2*D129</f>
        <v>0.0079627786626174</v>
      </c>
      <c r="G129" s="2">
        <f>Inputs!$E$3*C129+Inputs!$F$3*D129</f>
        <v>0.0147282402977841</v>
      </c>
      <c r="H129" s="2">
        <f>F129^2</f>
        <v>6.340584402983495e-05</v>
      </c>
      <c r="I129" s="2">
        <f>G129^2</f>
        <v>0.00021692106226927146</v>
      </c>
      <c r="J129" s="2">
        <f>LN(1+F129+E129)</f>
        <v>0.007951045004321056</v>
      </c>
      <c r="K129" s="2">
        <f>LN(1+G129+E129)</f>
        <v>0.0146405030382792</v>
      </c>
      <c r="L129" s="2">
        <f>LN(1+E129)</f>
        <v>1.9959643971919968e-05</v>
      </c>
      <c r="M129" s="2">
        <f>LN(1+C129+E129)</f>
        <v>0.0006499154589075915</v>
      </c>
      <c r="N129" s="2">
        <f>LN(1+D129+E129)</f>
        <v>0.012374158472408624</v>
      </c>
      <c r="O129" s="2">
        <f>LN(1+C129+E129+Inputs!$B$7/Inputs!$B$9)</f>
        <v>0.0006598295992037464</v>
      </c>
      <c r="P129" s="2">
        <f>LN(1+D129+E129+Inputs!$B$8/Inputs!$B$9)</f>
        <v>0.012374158472408624</v>
      </c>
      <c r="Q129" s="2">
        <f>LN(1+E129+Inputs!$B$6/Inputs!$B$9)</f>
        <v>3.9800320964993094e-05</v>
      </c>
    </row>
    <row r="130" spans="1:17">
      <c r="A130" s="3">
        <v>42558</v>
      </c>
      <c r="B130" t="s">
        <v>47</v>
      </c>
      <c r="C130" s="2">
        <v>-0.01947459236166911</v>
      </c>
      <c r="D130" s="2">
        <v>0.003420523623087514</v>
      </c>
      <c r="E130" s="2">
        <v>2.003889205084424E-05</v>
      </c>
      <c r="F130" s="2">
        <f>Inputs!$E$2*C130+Inputs!$F$2*D130</f>
        <v>-0.0135273597154824</v>
      </c>
      <c r="G130" s="2">
        <f>Inputs!$E$3*C130+Inputs!$F$3*D130</f>
        <v>0.009947006056206298</v>
      </c>
      <c r="H130" s="2">
        <f>F130^2</f>
        <v>0.0001829894608720561</v>
      </c>
      <c r="I130" s="2">
        <f>G130^2</f>
        <v>9.894292948220476e-05</v>
      </c>
      <c r="J130" s="2">
        <f>LN(1+F130+E130)</f>
        <v>-0.01359937455402899</v>
      </c>
      <c r="K130" s="2">
        <f>LN(1+G130+E130)</f>
        <v>0.009917701556736793</v>
      </c>
      <c r="L130" s="2">
        <f>LN(1+E130)</f>
        <v>2.003869127512904e-05</v>
      </c>
      <c r="M130" s="2">
        <f>LN(1+C130+E130)</f>
        <v>-0.019646284057431167</v>
      </c>
      <c r="N130" s="2">
        <f>LN(1+D130+E130)</f>
        <v>0.0034346573208457877</v>
      </c>
      <c r="O130" s="2">
        <f>LN(1+C130+E130+Inputs!$B$7/Inputs!$B$9)</f>
        <v>-0.01963616664291431</v>
      </c>
      <c r="P130" s="2">
        <f>LN(1+D130+E130+Inputs!$B$8/Inputs!$B$9)</f>
        <v>0.0034346573208457877</v>
      </c>
      <c r="Q130" s="2">
        <f>LN(1+E130+Inputs!$B$6/Inputs!$B$9)</f>
        <v>3.987936669986578e-05</v>
      </c>
    </row>
    <row r="131" spans="1:17">
      <c r="A131" s="3">
        <v>42559</v>
      </c>
      <c r="B131" t="s">
        <v>47</v>
      </c>
      <c r="C131" s="2">
        <v>-0.001762365354886214</v>
      </c>
      <c r="D131" s="2">
        <v>0.001323882006274934</v>
      </c>
      <c r="E131" s="2">
        <v>2.011794093467401E-05</v>
      </c>
      <c r="F131" s="2">
        <f>Inputs!$E$2*C131+Inputs!$F$2*D131</f>
        <v>-0.0006155630801438002</v>
      </c>
      <c r="G131" s="2">
        <f>Inputs!$E$3*C131+Inputs!$F$3*D131</f>
        <v>0.0021173680139958</v>
      </c>
      <c r="H131" s="2">
        <f>F131^2</f>
        <v>3.7891790563612257e-07</v>
      </c>
      <c r="I131" s="2">
        <f>G131^2</f>
        <v>4.483247306692518e-06</v>
      </c>
      <c r="J131" s="2">
        <f>LN(1+F131+E131)</f>
        <v>-0.0005956224870697405</v>
      </c>
      <c r="K131" s="2">
        <f>LN(1+G131+E131)</f>
        <v>0.002135204781898884</v>
      </c>
      <c r="L131" s="2">
        <f>LN(1+E131)</f>
        <v>2.01177385718676e-05</v>
      </c>
      <c r="M131" s="2">
        <f>LN(1+C131+E131)</f>
        <v>-0.001743766892104455</v>
      </c>
      <c r="N131" s="2">
        <f>LN(1+D131+E131)</f>
        <v>0.0013430975877045633</v>
      </c>
      <c r="O131" s="2">
        <f>LN(1+C131+E131+Inputs!$B$7/Inputs!$B$9)</f>
        <v>-0.0017338289921984321</v>
      </c>
      <c r="P131" s="2">
        <f>LN(1+D131+E131+Inputs!$B$8/Inputs!$B$9)</f>
        <v>0.0013430975877045633</v>
      </c>
      <c r="Q131" s="2">
        <f>LN(1+E131+Inputs!$B$6/Inputs!$B$9)</f>
        <v>3.99584124282682e-05</v>
      </c>
    </row>
    <row r="132" spans="1:17">
      <c r="A132" s="3">
        <v>42562</v>
      </c>
      <c r="B132" t="s">
        <v>47</v>
      </c>
      <c r="C132" s="2">
        <v>0.003062047614483605</v>
      </c>
      <c r="D132" s="2">
        <v>0.0003934268214358482</v>
      </c>
      <c r="E132" s="2">
        <v>2.019698981850376E-05</v>
      </c>
      <c r="F132" s="2">
        <f>Inputs!$E$2*C132+Inputs!$F$2*D132</f>
        <v>0.0026856941844488</v>
      </c>
      <c r="G132" s="2">
        <f>Inputs!$E$3*C132+Inputs!$F$3*D132</f>
        <v>-0.0004465020986220001</v>
      </c>
      <c r="H132" s="2">
        <f>F132^2</f>
        <v>7.2129532523821055e-06</v>
      </c>
      <c r="I132" s="2">
        <f>G132^2</f>
        <v>1.993641240738503e-07</v>
      </c>
      <c r="J132" s="2">
        <f>LN(1+F132+E132)</f>
        <v>0.002702236841411424</v>
      </c>
      <c r="K132" s="2">
        <f>LN(1+G132+E132)</f>
        <v>-0.00042639600265908395</v>
      </c>
      <c r="L132" s="2">
        <f>LN(1+E132)</f>
        <v>2.019678586257972e-05</v>
      </c>
      <c r="M132" s="2">
        <f>LN(1+C132+E132)</f>
        <v>0.0030775042265739822</v>
      </c>
      <c r="N132" s="2">
        <f>LN(1+D132+E132)</f>
        <v>0.0004135382925073884</v>
      </c>
      <c r="O132" s="2">
        <f>LN(1+C132+E132+Inputs!$B$7/Inputs!$B$9)</f>
        <v>0.0030873943287227012</v>
      </c>
      <c r="P132" s="2">
        <f>LN(1+D132+E132+Inputs!$B$8/Inputs!$B$9)</f>
        <v>0.0004135382925073884</v>
      </c>
      <c r="Q132" s="2">
        <f>LN(1+E132+Inputs!$B$6/Inputs!$B$9)</f>
        <v>4.003745815064443e-05</v>
      </c>
    </row>
    <row r="133" spans="1:17">
      <c r="A133" s="3">
        <v>42563</v>
      </c>
      <c r="B133" t="s">
        <v>47</v>
      </c>
      <c r="C133" s="2">
        <v>0.01028354494879031</v>
      </c>
      <c r="D133" s="2">
        <v>-0.00605194525817487</v>
      </c>
      <c r="E133" s="2">
        <v>2.027603870233352E-05</v>
      </c>
      <c r="F133" s="2">
        <f>Inputs!$E$2*C133+Inputs!$F$2*D133</f>
        <v>0.004595668804127</v>
      </c>
      <c r="G133" s="2">
        <f>Inputs!$E$3*C133+Inputs!$F$3*D133</f>
        <v>-0.010347397794446999</v>
      </c>
      <c r="H133" s="2">
        <f>F133^2</f>
        <v>2.112017175722609e-05</v>
      </c>
      <c r="I133" s="2">
        <f>G133^2</f>
        <v>0.00010706864111652662</v>
      </c>
      <c r="J133" s="2">
        <f>LN(1+F133+E133)</f>
        <v>0.00460532404025117</v>
      </c>
      <c r="K133" s="2">
        <f>LN(1+G133+E133)</f>
        <v>-0.010380816472109925</v>
      </c>
      <c r="L133" s="2">
        <f>LN(1+E133)</f>
        <v>2.027583314593317e-05</v>
      </c>
      <c r="M133" s="2">
        <f>LN(1+C133+E133)</f>
        <v>0.010251098476954263</v>
      </c>
      <c r="N133" s="2">
        <f>LN(1+D133+E133)</f>
        <v>-0.006049933214879298</v>
      </c>
      <c r="O133" s="2">
        <f>LN(1+C133+E133+Inputs!$B$7/Inputs!$B$9)</f>
        <v>0.010260917885737322</v>
      </c>
      <c r="P133" s="2">
        <f>LN(1+D133+E133+Inputs!$B$8/Inputs!$B$9)</f>
        <v>-0.006049933214879298</v>
      </c>
      <c r="Q133" s="2">
        <f>LN(1+E133+Inputs!$B$6/Inputs!$B$9)</f>
        <v>4.0116503865662254e-05</v>
      </c>
    </row>
    <row r="134" spans="1:17">
      <c r="A134" s="3">
        <v>42564</v>
      </c>
      <c r="B134" t="s">
        <v>47</v>
      </c>
      <c r="C134" s="2">
        <v>0.00593794413891764</v>
      </c>
      <c r="D134" s="2">
        <v>-0.006292682362641844</v>
      </c>
      <c r="E134" s="2">
        <v>2.035508758616328E-05</v>
      </c>
      <c r="F134" s="2">
        <f>Inputs!$E$2*C134+Inputs!$F$2*D134</f>
        <v>0.0009747458935492012</v>
      </c>
      <c r="G134" s="2">
        <f>Inputs!$E$3*C134+Inputs!$F$3*D134</f>
        <v>-0.0093326020768458</v>
      </c>
      <c r="H134" s="2">
        <f>F134^2</f>
        <v>9.501295569910306e-07</v>
      </c>
      <c r="I134" s="2">
        <f>G134^2</f>
        <v>8.709746152474653e-05</v>
      </c>
      <c r="J134" s="2">
        <f>LN(1+F134+E134)</f>
        <v>0.0009946061963670943</v>
      </c>
      <c r="K134" s="2">
        <f>LN(1+G134+E134)</f>
        <v>-0.009355877035007544</v>
      </c>
      <c r="L134" s="2">
        <f>LN(1+E134)</f>
        <v>2.0354880423926305e-05</v>
      </c>
      <c r="M134" s="2">
        <f>LN(1+C134+E134)</f>
        <v>0.005940618757257738</v>
      </c>
      <c r="N134" s="2">
        <f>LN(1+D134+E134)</f>
        <v>-0.006292080964167467</v>
      </c>
      <c r="O134" s="2">
        <f>LN(1+C134+E134+Inputs!$B$7/Inputs!$B$9)</f>
        <v>0.0059504805835487356</v>
      </c>
      <c r="P134" s="2">
        <f>LN(1+D134+E134+Inputs!$B$8/Inputs!$B$9)</f>
        <v>-0.006292080964167467</v>
      </c>
      <c r="Q134" s="2">
        <f>LN(1+E134+Inputs!$B$6/Inputs!$B$9)</f>
        <v>4.0195549575319996e-05</v>
      </c>
    </row>
    <row r="135" spans="1:17">
      <c r="A135" s="3">
        <v>42565</v>
      </c>
      <c r="B135" t="s">
        <v>47</v>
      </c>
      <c r="C135" s="2">
        <v>0.01989587358561419</v>
      </c>
      <c r="D135" s="2">
        <v>-0.00541660950100042</v>
      </c>
      <c r="E135" s="2">
        <v>2.043413646999304E-05</v>
      </c>
      <c r="F135" s="2">
        <f>Inputs!$E$2*C135+Inputs!$F$2*D135</f>
        <v>0.012666733167891199</v>
      </c>
      <c r="G135" s="2">
        <f>Inputs!$E$3*C135+Inputs!$F$3*D135</f>
        <v>-0.0124686934768842</v>
      </c>
      <c r="H135" s="2">
        <f>F135^2</f>
        <v>0.000160446129146555</v>
      </c>
      <c r="I135" s="2">
        <f>G135^2</f>
        <v>0.0001554683170204946</v>
      </c>
      <c r="J135" s="2">
        <f>LN(1+F135+E135)</f>
        <v>0.012607359511581689</v>
      </c>
      <c r="K135" s="2">
        <f>LN(1+G135+E135)</f>
        <v>-0.012526387974817976</v>
      </c>
      <c r="L135" s="2">
        <f>LN(1+E135)</f>
        <v>2.043392769589301e-05</v>
      </c>
      <c r="M135" s="2">
        <f>LN(1+C135+E135)</f>
        <v>0.019720572676932776</v>
      </c>
      <c r="N135" s="2">
        <f>LN(1+D135+E135)</f>
        <v>-0.00541078730825896</v>
      </c>
      <c r="O135" s="2">
        <f>LN(1+C135+E135+Inputs!$B$7/Inputs!$B$9)</f>
        <v>0.01973029954039922</v>
      </c>
      <c r="P135" s="2">
        <f>LN(1+D135+E135+Inputs!$B$8/Inputs!$B$9)</f>
        <v>-0.00541078730825896</v>
      </c>
      <c r="Q135" s="2">
        <f>LN(1+E135+Inputs!$B$6/Inputs!$B$9)</f>
        <v>4.027459527895155e-05</v>
      </c>
    </row>
    <row r="136" spans="1:17">
      <c r="A136" s="3">
        <v>42566</v>
      </c>
      <c r="B136" t="s">
        <v>47</v>
      </c>
      <c r="C136" s="2">
        <v>0.01366830962809435</v>
      </c>
      <c r="D136" s="2">
        <v>0.002089507340422788</v>
      </c>
      <c r="E136" s="2">
        <v>2.05131853538228E-05</v>
      </c>
      <c r="F136" s="2">
        <f>Inputs!$E$2*C136+Inputs!$F$2*D136</f>
        <v>0.012188352106729002</v>
      </c>
      <c r="G136" s="2">
        <f>Inputs!$E$3*C136+Inputs!$F$3*D136</f>
        <v>-0.0015930840799206</v>
      </c>
      <c r="H136" s="2">
        <f>F136^2</f>
        <v>0.0001485559270776053</v>
      </c>
      <c r="I136" s="2">
        <f>G136^2</f>
        <v>2.5379168856964644e-06</v>
      </c>
      <c r="J136" s="2">
        <f>LN(1+F136+E136)</f>
        <v>0.0121349381986112</v>
      </c>
      <c r="K136" s="2">
        <f>LN(1+G136+E136)</f>
        <v>-0.0015738086820184039</v>
      </c>
      <c r="L136" s="2">
        <f>LN(1+E136)</f>
        <v>2.0512974961389206e-05</v>
      </c>
      <c r="M136" s="2">
        <f>LN(1+C136+E136)</f>
        <v>0.013595977216838352</v>
      </c>
      <c r="N136" s="2">
        <f>LN(1+D136+E136)</f>
        <v>0.002107797558921888</v>
      </c>
      <c r="O136" s="2">
        <f>LN(1+C136+E136+Inputs!$B$7/Inputs!$B$9)</f>
        <v>0.013605763835919812</v>
      </c>
      <c r="P136" s="2">
        <f>LN(1+D136+E136+Inputs!$B$8/Inputs!$B$9)</f>
        <v>0.002107797558921888</v>
      </c>
      <c r="Q136" s="2">
        <f>LN(1+E136+Inputs!$B$6/Inputs!$B$9)</f>
        <v>4.035364097611285e-05</v>
      </c>
    </row>
    <row r="137" spans="1:17">
      <c r="A137" s="3">
        <v>42569</v>
      </c>
      <c r="B137" t="s">
        <v>47</v>
      </c>
      <c r="C137" s="2">
        <v>0.01348508616826022</v>
      </c>
      <c r="D137" s="2">
        <v>-0.005985416829412807</v>
      </c>
      <c r="E137" s="2">
        <v>2.059223423765256E-05</v>
      </c>
      <c r="F137" s="2">
        <f>Inputs!$E$2*C137+Inputs!$F$2*D137</f>
        <v>0.0071968188369602</v>
      </c>
      <c r="G137" s="2">
        <f>Inputs!$E$3*C137+Inputs!$F$3*D137</f>
        <v>-0.0112280260457736</v>
      </c>
      <c r="H137" s="2">
        <f>F137^2</f>
        <v>5.179420137202516e-05</v>
      </c>
      <c r="I137" s="2">
        <f>G137^2</f>
        <v>0.00012606856888457035</v>
      </c>
      <c r="J137" s="2">
        <f>LN(1+F137+E137)</f>
        <v>0.007191490206212012</v>
      </c>
      <c r="K137" s="2">
        <f>LN(1+G137+E137)</f>
        <v>-0.011270710320255464</v>
      </c>
      <c r="L137" s="2">
        <f>LN(1+E137)</f>
        <v>2.0592022220858968e-05</v>
      </c>
      <c r="M137" s="2">
        <f>LN(1+C137+E137)</f>
        <v>0.013415289659390529</v>
      </c>
      <c r="N137" s="2">
        <f>LN(1+D137+E137)</f>
        <v>-0.005982685220481732</v>
      </c>
      <c r="O137" s="2">
        <f>LN(1+C137+E137+Inputs!$B$7/Inputs!$B$9)</f>
        <v>0.013425078046943399</v>
      </c>
      <c r="P137" s="2">
        <f>LN(1+D137+E137+Inputs!$B$8/Inputs!$B$9)</f>
        <v>-0.005982685220481732</v>
      </c>
      <c r="Q137" s="2">
        <f>LN(1+E137+Inputs!$B$6/Inputs!$B$9)</f>
        <v>4.043268666724796e-05</v>
      </c>
    </row>
    <row r="138" spans="1:17">
      <c r="A138" s="3">
        <v>42570</v>
      </c>
      <c r="B138" t="s">
        <v>47</v>
      </c>
      <c r="C138" s="2">
        <v>0.009817919298641724</v>
      </c>
      <c r="D138" s="2">
        <v>-0.0003634887753258703</v>
      </c>
      <c r="E138" s="2">
        <v>2.067128312148233E-05</v>
      </c>
      <c r="F138" s="2">
        <f>Inputs!$E$2*C138+Inputs!$F$2*D138</f>
        <v>0.007636242173718001</v>
      </c>
      <c r="G138" s="2">
        <f>Inputs!$E$3*C138+Inputs!$F$3*D138</f>
        <v>-0.0033815623199837997</v>
      </c>
      <c r="H138" s="2">
        <f>F138^2</f>
        <v>5.831219453566941e-05</v>
      </c>
      <c r="I138" s="2">
        <f>G138^2</f>
        <v>1.1434963723934218e-05</v>
      </c>
      <c r="J138" s="2">
        <f>LN(1+F138+E138)</f>
        <v>0.007627748078240048</v>
      </c>
      <c r="K138" s="2">
        <f>LN(1+G138+E138)</f>
        <v>-0.003366551517541302</v>
      </c>
      <c r="L138" s="2">
        <f>LN(1+E138)</f>
        <v>2.0671069472970063e-05</v>
      </c>
      <c r="M138" s="2">
        <f>LN(1+C138+E138)</f>
        <v>0.009790506776795693</v>
      </c>
      <c r="N138" s="2">
        <f>LN(1+D138+E138)</f>
        <v>-0.0003428762675546709</v>
      </c>
      <c r="O138" s="2">
        <f>LN(1+C138+E138+Inputs!$B$7/Inputs!$B$9)</f>
        <v>0.009800330709336445</v>
      </c>
      <c r="P138" s="2">
        <f>LN(1+D138+E138+Inputs!$B$8/Inputs!$B$9)</f>
        <v>-0.0003428762675546709</v>
      </c>
      <c r="Q138" s="2">
        <f>LN(1+E138+Inputs!$B$6/Inputs!$B$9)</f>
        <v>4.051173235102467e-05</v>
      </c>
    </row>
    <row r="139" spans="1:17">
      <c r="A139" s="3">
        <v>42571</v>
      </c>
      <c r="B139" t="s">
        <v>47</v>
      </c>
      <c r="C139" s="2">
        <v>-0.01376376455217277</v>
      </c>
      <c r="D139" s="2">
        <v>0.007856250326946489</v>
      </c>
      <c r="E139" s="2">
        <v>2.075033200531209E-05</v>
      </c>
      <c r="F139" s="2">
        <f>Inputs!$E$2*C139+Inputs!$F$2*D139</f>
        <v>-0.0062972614455708</v>
      </c>
      <c r="G139" s="2">
        <f>Inputs!$E$3*C139+Inputs!$F$3*D139</f>
        <v>0.013556629757987099</v>
      </c>
      <c r="H139" s="2">
        <f>F139^2</f>
        <v>3.9655501713872445e-05</v>
      </c>
      <c r="I139" s="2">
        <f>G139^2</f>
        <v>0.00018378221039514134</v>
      </c>
      <c r="J139" s="2">
        <f>LN(1+F139+E139)</f>
        <v>-0.006296291219584628</v>
      </c>
      <c r="K139" s="2">
        <f>LN(1+G139+E139)</f>
        <v>0.013486033368903121</v>
      </c>
      <c r="L139" s="2">
        <f>LN(1+E139)</f>
        <v>2.0750116719942894e-05</v>
      </c>
      <c r="M139" s="2">
        <f>LN(1+C139+E139)</f>
        <v>-0.013838323673671427</v>
      </c>
      <c r="N139" s="2">
        <f>LN(1+D139+E139)</f>
        <v>0.007846139047943363</v>
      </c>
      <c r="O139" s="2">
        <f>LN(1+C139+E139+Inputs!$B$7/Inputs!$B$9)</f>
        <v>-0.013828264850090118</v>
      </c>
      <c r="P139" s="2">
        <f>LN(1+D139+E139+Inputs!$B$8/Inputs!$B$9)</f>
        <v>0.007846139047943363</v>
      </c>
      <c r="Q139" s="2">
        <f>LN(1+E139+Inputs!$B$6/Inputs!$B$9)</f>
        <v>4.059077802966334e-05</v>
      </c>
    </row>
    <row r="140" spans="1:17">
      <c r="A140" s="3">
        <v>42572</v>
      </c>
      <c r="B140" t="s">
        <v>47</v>
      </c>
      <c r="C140" s="2">
        <v>0.009135020752651131</v>
      </c>
      <c r="D140" s="2">
        <v>-0.01666506418770809</v>
      </c>
      <c r="E140" s="2">
        <v>2.082938088914185E-05</v>
      </c>
      <c r="F140" s="2">
        <f>Inputs!$E$2*C140+Inputs!$F$2*D140</f>
        <v>-0.0026910219105039986</v>
      </c>
      <c r="G140" s="2">
        <f>Inputs!$E$3*C140+Inputs!$F$3*D140</f>
        <v>-0.022738583251044896</v>
      </c>
      <c r="H140" s="2">
        <f>F140^2</f>
        <v>7.24159892281259e-06</v>
      </c>
      <c r="I140" s="2">
        <f>G140^2</f>
        <v>0.0005170431682646995</v>
      </c>
      <c r="J140" s="2">
        <f>LN(1+F140+E140)</f>
        <v>-0.0026737638525173857</v>
      </c>
      <c r="K140" s="2">
        <f>LN(1+G140+E140)</f>
        <v>-0.0229797780462475</v>
      </c>
      <c r="L140" s="2">
        <f>LN(1+E140)</f>
        <v>2.0829163960445213e-05</v>
      </c>
      <c r="M140" s="2">
        <f>LN(1+C140+E140)</f>
        <v>0.009114189437352968</v>
      </c>
      <c r="N140" s="2">
        <f>LN(1+D140+E140)</f>
        <v>-0.016784306515710282</v>
      </c>
      <c r="O140" s="2">
        <f>LN(1+C140+E140+Inputs!$B$7/Inputs!$B$9)</f>
        <v>0.009124020016204236</v>
      </c>
      <c r="P140" s="2">
        <f>LN(1+D140+E140+Inputs!$B$8/Inputs!$B$9)</f>
        <v>-0.016784306515710282</v>
      </c>
      <c r="Q140" s="2">
        <f>LN(1+E140+Inputs!$B$6/Inputs!$B$9)</f>
        <v>4.066982370183176e-05</v>
      </c>
    </row>
    <row r="141" spans="1:17">
      <c r="A141" s="3">
        <v>42573</v>
      </c>
      <c r="B141" t="s">
        <v>47</v>
      </c>
      <c r="C141" s="2">
        <v>0.00646843328220296</v>
      </c>
      <c r="D141" s="2">
        <v>-0.007059177385085501</v>
      </c>
      <c r="E141" s="2">
        <v>2.090842977297161E-05</v>
      </c>
      <c r="F141" s="2">
        <f>Inputs!$E$2*C141+Inputs!$F$2*D141</f>
        <v>0.0009392401947108005</v>
      </c>
      <c r="G141" s="2">
        <f>Inputs!$E$3*C141+Inputs!$F$3*D141</f>
        <v>-0.0104115428467641</v>
      </c>
      <c r="H141" s="2">
        <f>F141^2</f>
        <v>8.821721433603824e-07</v>
      </c>
      <c r="I141" s="2">
        <f>G141^2</f>
        <v>0.00010840022445000468</v>
      </c>
      <c r="J141" s="2">
        <f>LN(1+F141+E141)</f>
        <v>0.0009596879766300423</v>
      </c>
      <c r="K141" s="2">
        <f>LN(1+G141+E141)</f>
        <v>-0.010444993939943057</v>
      </c>
      <c r="L141" s="2">
        <f>LN(1+E141)</f>
        <v>2.090821119492111e-05</v>
      </c>
      <c r="M141" s="2">
        <f>LN(1+C141+E141)</f>
        <v>0.006468376585084063</v>
      </c>
      <c r="N141" s="2">
        <f>LN(1+D141+E141)</f>
        <v>-0.007063154405998051</v>
      </c>
      <c r="O141" s="2">
        <f>LN(1+C141+E141+Inputs!$B$7/Inputs!$B$9)</f>
        <v>0.006478233208117841</v>
      </c>
      <c r="P141" s="2">
        <f>LN(1+D141+E141+Inputs!$B$8/Inputs!$B$9)</f>
        <v>-0.007063154405998051</v>
      </c>
      <c r="Q141" s="2">
        <f>LN(1+E141+Inputs!$B$6/Inputs!$B$9)</f>
        <v>4.074886936797399e-05</v>
      </c>
    </row>
    <row r="142" spans="1:17">
      <c r="A142" s="3">
        <v>42576</v>
      </c>
      <c r="B142" t="s">
        <v>47</v>
      </c>
      <c r="C142" s="2">
        <v>-0.005092158564256522</v>
      </c>
      <c r="D142" s="2">
        <v>-0.007969381689619031</v>
      </c>
      <c r="E142" s="2">
        <v>2.098747865680137E-05</v>
      </c>
      <c r="F142" s="2">
        <f>Inputs!$E$2*C142+Inputs!$F$2*D142</f>
        <v>-0.008855355865177</v>
      </c>
      <c r="G142" s="2">
        <f>Inputs!$E$3*C142+Inputs!$F$3*D142</f>
        <v>-0.0080356104582657</v>
      </c>
      <c r="H142" s="2">
        <f>F142^2</f>
        <v>7.84173274989247e-05</v>
      </c>
      <c r="I142" s="2">
        <f>G142^2</f>
        <v>6.457103543698909e-05</v>
      </c>
      <c r="J142" s="2">
        <f>LN(1+F142+E142)</f>
        <v>-0.008873622781782857</v>
      </c>
      <c r="K142" s="2">
        <f>LN(1+G142+E142)</f>
        <v>-0.008046912712776157</v>
      </c>
      <c r="L142" s="2">
        <f>LN(1+E142)</f>
        <v>2.09872584229265e-05</v>
      </c>
      <c r="M142" s="2">
        <f>LN(1+C142+E142)</f>
        <v>-0.005084073111092131</v>
      </c>
      <c r="N142" s="2">
        <f>LN(1+D142+E142)</f>
        <v>-0.007980151085603744</v>
      </c>
      <c r="O142" s="2">
        <f>LN(1+C142+E142+Inputs!$B$7/Inputs!$B$9)</f>
        <v>-0.005074101960219459</v>
      </c>
      <c r="P142" s="2">
        <f>LN(1+D142+E142+Inputs!$B$8/Inputs!$B$9)</f>
        <v>-0.007980151085603744</v>
      </c>
      <c r="Q142" s="2">
        <f>LN(1+E142+Inputs!$B$6/Inputs!$B$9)</f>
        <v>4.0827915027645966e-05</v>
      </c>
    </row>
    <row r="143" spans="1:17">
      <c r="A143" s="3">
        <v>42577</v>
      </c>
      <c r="B143" t="s">
        <v>47</v>
      </c>
      <c r="C143" s="2">
        <v>0.006015840685550891</v>
      </c>
      <c r="D143" s="2">
        <v>9.699247870508115E-05</v>
      </c>
      <c r="E143" s="2">
        <v>2.106652754063112E-05</v>
      </c>
      <c r="F143" s="2">
        <f>Inputs!$E$2*C143+Inputs!$F$2*D143</f>
        <v>0.0048708680356638005</v>
      </c>
      <c r="G143" s="2">
        <f>Inputs!$E$3*C143+Inputs!$F$3*D143</f>
        <v>-0.0016883612312193</v>
      </c>
      <c r="H143" s="2">
        <f>F143^2</f>
        <v>2.372535542085133e-05</v>
      </c>
      <c r="I143" s="2">
        <f>G143^2</f>
        <v>2.8505636470843507e-06</v>
      </c>
      <c r="J143" s="2">
        <f>LN(1+F143+E143)</f>
        <v>0.004880007931704803</v>
      </c>
      <c r="K143" s="2">
        <f>LN(1+G143+E143)</f>
        <v>-0.001668686186382364</v>
      </c>
      <c r="L143" s="2">
        <f>LN(1+E143)</f>
        <v>2.1066305644905467e-05</v>
      </c>
      <c r="M143" s="2">
        <f>LN(1+C143+E143)</f>
        <v>0.006018758095141459</v>
      </c>
      <c r="N143" s="2">
        <f>LN(1+D143+E143)</f>
        <v>0.0001180520378301468</v>
      </c>
      <c r="O143" s="2">
        <f>LN(1+C143+E143+Inputs!$B$7/Inputs!$B$9)</f>
        <v>0.006028619150869785</v>
      </c>
      <c r="P143" s="2">
        <f>LN(1+D143+E143+Inputs!$B$8/Inputs!$B$9)</f>
        <v>0.0001180520378301468</v>
      </c>
      <c r="Q143" s="2">
        <f>LN(1+E143+Inputs!$B$6/Inputs!$B$9)</f>
        <v>4.090696068129177e-05</v>
      </c>
    </row>
    <row r="144" spans="1:17">
      <c r="A144" s="3">
        <v>42578</v>
      </c>
      <c r="B144" t="s">
        <v>47</v>
      </c>
      <c r="C144" s="2">
        <v>0.004252942190119941</v>
      </c>
      <c r="D144" s="2">
        <v>-0.01160904731885612</v>
      </c>
      <c r="E144" s="2">
        <v>2.114557642446089E-05</v>
      </c>
      <c r="F144" s="2">
        <f>Inputs!$E$2*C144+Inputs!$F$2*D144</f>
        <v>-0.0035630746392175997</v>
      </c>
      <c r="G144" s="2">
        <f>Inputs!$E$3*C144+Inputs!$F$3*D144</f>
        <v>-0.015206739439663199</v>
      </c>
      <c r="H144" s="2">
        <f>F144^2</f>
        <v>1.2695500884635629e-05</v>
      </c>
      <c r="I144" s="2">
        <f>G144^2</f>
        <v>0.0002312449243858082</v>
      </c>
      <c r="J144" s="2">
        <f>LN(1+F144+E144)</f>
        <v>-0.0035482165444696676</v>
      </c>
      <c r="K144" s="2">
        <f>LN(1+G144+E144)</f>
        <v>-0.015302075729082818</v>
      </c>
      <c r="L144" s="2">
        <f>LN(1+E144)</f>
        <v>2.1145352859525773e-05</v>
      </c>
      <c r="M144" s="2">
        <f>LN(1+C144+E144)</f>
        <v>0.004264979796379511</v>
      </c>
      <c r="N144" s="2">
        <f>LN(1+D144+E144)</f>
        <v>-0.011655564698190221</v>
      </c>
      <c r="O144" s="2">
        <f>LN(1+C144+E144+Inputs!$B$7/Inputs!$B$9)</f>
        <v>0.0042748581613017665</v>
      </c>
      <c r="P144" s="2">
        <f>LN(1+D144+E144+Inputs!$B$8/Inputs!$B$9)</f>
        <v>-0.011655564698190221</v>
      </c>
      <c r="Q144" s="2">
        <f>LN(1+E144+Inputs!$B$6/Inputs!$B$9)</f>
        <v>4.098600632757918e-05</v>
      </c>
    </row>
    <row r="145" spans="1:17">
      <c r="A145" s="3">
        <v>42579</v>
      </c>
      <c r="B145" t="s">
        <v>47</v>
      </c>
      <c r="C145" s="2">
        <v>-0.004086833271636756</v>
      </c>
      <c r="D145" s="2">
        <v>-0.00541131360234346</v>
      </c>
      <c r="E145" s="2">
        <v>2.122462530829065E-05</v>
      </c>
      <c r="F145" s="2">
        <f>Inputs!$E$2*C145+Inputs!$F$2*D145</f>
        <v>-0.0065162547787154</v>
      </c>
      <c r="G145" s="2">
        <f>Inputs!$E$3*C145+Inputs!$F$3*D145</f>
        <v>-0.0052675263413205</v>
      </c>
      <c r="H145" s="2">
        <f>F145^2</f>
        <v>4.246157634113129e-05</v>
      </c>
      <c r="I145" s="2">
        <f>G145^2</f>
        <v>2.7746833756505336e-05</v>
      </c>
      <c r="J145" s="2">
        <f>LN(1+F145+E145)</f>
        <v>-0.006516214640832106</v>
      </c>
      <c r="K145" s="2">
        <f>LN(1+G145+E145)</f>
        <v>-0.005260111879559771</v>
      </c>
      <c r="L145" s="2">
        <f>LN(1+E145)</f>
        <v>2.1224400068785773e-05</v>
      </c>
      <c r="M145" s="2">
        <f>LN(1+C145+E145)</f>
        <v>-0.004073895702071638</v>
      </c>
      <c r="N145" s="2">
        <f>LN(1+D145+E145)</f>
        <v>-0.005404667918084037</v>
      </c>
      <c r="O145" s="2">
        <f>LN(1+C145+E145+Inputs!$B$7/Inputs!$B$9)</f>
        <v>-0.004063934618694318</v>
      </c>
      <c r="P145" s="2">
        <f>LN(1+D145+E145+Inputs!$B$8/Inputs!$B$9)</f>
        <v>-0.005404667918084037</v>
      </c>
      <c r="Q145" s="2">
        <f>LN(1+E145+Inputs!$B$6/Inputs!$B$9)</f>
        <v>4.106505196850651e-05</v>
      </c>
    </row>
    <row r="146" spans="1:17">
      <c r="A146" s="3">
        <v>42580</v>
      </c>
      <c r="B146" t="s">
        <v>47</v>
      </c>
      <c r="C146" s="2">
        <v>-0.0008758279555688154</v>
      </c>
      <c r="D146" s="2">
        <v>0.01868146687581201</v>
      </c>
      <c r="E146" s="2">
        <v>2.130367419212041E-05</v>
      </c>
      <c r="F146" s="2">
        <f>Inputs!$E$2*C146+Inputs!$F$2*D146</f>
        <v>0.010508217761032</v>
      </c>
      <c r="G146" s="2">
        <f>Inputs!$E$3*C146+Inputs!$F$3*D146</f>
        <v>0.0226805086376451</v>
      </c>
      <c r="H146" s="2">
        <f>F146^2</f>
        <v>0.00011042264051326838</v>
      </c>
      <c r="I146" s="2">
        <f>G146^2</f>
        <v>0.0005144054720622939</v>
      </c>
      <c r="J146" s="2">
        <f>LN(1+F146+E146)</f>
        <v>0.010474472115871021</v>
      </c>
      <c r="K146" s="2">
        <f>LN(1+G146+E146)</f>
        <v>0.02244796091375635</v>
      </c>
      <c r="L146" s="2">
        <f>LN(1+E146)</f>
        <v>2.1303447272019354e-05</v>
      </c>
      <c r="M146" s="2">
        <f>LN(1+C146+E146)</f>
        <v>-0.0008548895953786816</v>
      </c>
      <c r="N146" s="2">
        <f>LN(1+D146+E146)</f>
        <v>0.018530024301953225</v>
      </c>
      <c r="O146" s="2">
        <f>LN(1+C146+E146+Inputs!$B$7/Inputs!$B$9)</f>
        <v>-0.000844960525077609</v>
      </c>
      <c r="P146" s="2">
        <f>LN(1+D146+E146+Inputs!$B$8/Inputs!$B$9)</f>
        <v>0.018530024301953225</v>
      </c>
      <c r="Q146" s="2">
        <f>LN(1+E146+Inputs!$B$6/Inputs!$B$9)</f>
        <v>4.1144097603407674e-05</v>
      </c>
    </row>
    <row r="147" spans="1:17">
      <c r="A147" s="3">
        <v>42583</v>
      </c>
      <c r="B147" t="s">
        <v>48</v>
      </c>
      <c r="C147" s="2">
        <v>-0.002050408339994126</v>
      </c>
      <c r="D147" s="2">
        <v>-0.01273757943252111</v>
      </c>
      <c r="E147" s="2">
        <v>2.138272307595017E-05</v>
      </c>
      <c r="F147" s="2">
        <f>Inputs!$E$2*C147+Inputs!$F$2*D147</f>
        <v>-0.0092828743315078</v>
      </c>
      <c r="G147" s="2">
        <f>Inputs!$E$3*C147+Inputs!$F$3*D147</f>
        <v>-0.014669972817027001</v>
      </c>
      <c r="H147" s="2">
        <f>F147^2</f>
        <v>8.61717558545664e-05</v>
      </c>
      <c r="I147" s="2">
        <f>G147^2</f>
        <v>0.00021520810245231114</v>
      </c>
      <c r="J147" s="2">
        <f>LN(1+F147+E147)</f>
        <v>-0.00930464587710094</v>
      </c>
      <c r="K147" s="2">
        <f>LN(1+G147+E147)</f>
        <v>-0.01475694010829999</v>
      </c>
      <c r="L147" s="2">
        <f>LN(1+E147)</f>
        <v>2.1382494468782437e-05</v>
      </c>
      <c r="M147" s="2">
        <f>LN(1+C147+E147)</f>
        <v>-0.002031086878101602</v>
      </c>
      <c r="N147" s="2">
        <f>LN(1+D147+E147)</f>
        <v>-0.012797739552923538</v>
      </c>
      <c r="O147" s="2">
        <f>LN(1+C147+E147+Inputs!$B$7/Inputs!$B$9)</f>
        <v>-0.0020211461224422713</v>
      </c>
      <c r="P147" s="2">
        <f>LN(1+D147+E147+Inputs!$B$8/Inputs!$B$9)</f>
        <v>-0.012797739552923538</v>
      </c>
      <c r="Q147" s="2">
        <f>LN(1+E147+Inputs!$B$6/Inputs!$B$9)</f>
        <v>4.122314323183859e-05</v>
      </c>
    </row>
    <row r="148" spans="1:17">
      <c r="A148" s="3">
        <v>42584</v>
      </c>
      <c r="B148" t="s">
        <v>48</v>
      </c>
      <c r="C148" s="2">
        <v>0.002172646676396575</v>
      </c>
      <c r="D148" s="2">
        <v>-0.0008041365170774376</v>
      </c>
      <c r="E148" s="2">
        <v>2.146177195977993E-05</v>
      </c>
      <c r="F148" s="2">
        <f>Inputs!$E$2*C148+Inputs!$F$2*D148</f>
        <v>0.0012556354308714</v>
      </c>
      <c r="G148" s="2">
        <f>Inputs!$E$3*C148+Inputs!$F$3*D148</f>
        <v>-0.0016167578234115</v>
      </c>
      <c r="H148" s="2">
        <f>F148^2</f>
        <v>1.5766203352596061e-06</v>
      </c>
      <c r="I148" s="2">
        <f>G148^2</f>
        <v>2.613905859562291e-06</v>
      </c>
      <c r="J148" s="2">
        <f>LN(1+F148+E148)</f>
        <v>0.0012762824078399522</v>
      </c>
      <c r="K148" s="2">
        <f>LN(1+G148+E148)</f>
        <v>-0.0015965698911452467</v>
      </c>
      <c r="L148" s="2">
        <f>LN(1+E148)</f>
        <v>2.14615416595191e-05</v>
      </c>
      <c r="M148" s="2">
        <f>LN(1+C148+E148)</f>
        <v>0.002191704907526166</v>
      </c>
      <c r="N148" s="2">
        <f>LN(1+D148+E148)</f>
        <v>-0.0007829811949060472</v>
      </c>
      <c r="O148" s="2">
        <f>LN(1+C148+E148+Inputs!$B$7/Inputs!$B$9)</f>
        <v>0.002201603774158487</v>
      </c>
      <c r="P148" s="2">
        <f>LN(1+D148+E148+Inputs!$B$8/Inputs!$B$9)</f>
        <v>-0.0007829811949060472</v>
      </c>
      <c r="Q148" s="2">
        <f>LN(1+E148+Inputs!$B$6/Inputs!$B$9)</f>
        <v>4.1302188854243325e-05</v>
      </c>
    </row>
    <row r="149" spans="1:17">
      <c r="A149" s="3">
        <v>42585</v>
      </c>
      <c r="B149" t="s">
        <v>48</v>
      </c>
      <c r="C149" s="2">
        <v>-0.003203246043716718</v>
      </c>
      <c r="D149" s="2">
        <v>0.001978647805832799</v>
      </c>
      <c r="E149" s="2">
        <v>2.154082084360969E-05</v>
      </c>
      <c r="F149" s="2">
        <f>Inputs!$E$2*C149+Inputs!$F$2*D149</f>
        <v>-0.0013754081514738001</v>
      </c>
      <c r="G149" s="2">
        <f>Inputs!$E$3*C149+Inputs!$F$3*D149</f>
        <v>0.0033353511801147</v>
      </c>
      <c r="H149" s="2">
        <f>F149^2</f>
        <v>1.8917475831405759e-06</v>
      </c>
      <c r="I149" s="2">
        <f>G149^2</f>
        <v>1.1124567494692522e-05</v>
      </c>
      <c r="J149" s="2">
        <f>LN(1+F149+E149)</f>
        <v>-0.0013547846370384358</v>
      </c>
      <c r="K149" s="2">
        <f>LN(1+G149+E149)</f>
        <v>0.0033512702166408792</v>
      </c>
      <c r="L149" s="2">
        <f>LN(1+E149)</f>
        <v>2.1540588843785266e-05</v>
      </c>
      <c r="M149" s="2">
        <f>LN(1+C149+E149)</f>
        <v>-0.0031867776090181736</v>
      </c>
      <c r="N149" s="2">
        <f>LN(1+D149+E149)</f>
        <v>0.0019981909128319302</v>
      </c>
      <c r="O149" s="2">
        <f>LN(1+C149+E149+Inputs!$B$7/Inputs!$B$9)</f>
        <v>-0.0031768253583357707</v>
      </c>
      <c r="P149" s="2">
        <f>LN(1+D149+E149+Inputs!$B$8/Inputs!$B$9)</f>
        <v>0.0019981909128319302</v>
      </c>
      <c r="Q149" s="2">
        <f>LN(1+E149+Inputs!$B$6/Inputs!$B$9)</f>
        <v>4.1381234470177814e-05</v>
      </c>
    </row>
    <row r="150" spans="1:17">
      <c r="A150" s="3">
        <v>42586</v>
      </c>
      <c r="B150" t="s">
        <v>48</v>
      </c>
      <c r="C150" s="2">
        <v>0.004529349787782185</v>
      </c>
      <c r="D150" s="2">
        <v>-0.002611795819865455</v>
      </c>
      <c r="E150" s="2">
        <v>2.161986972743945E-05</v>
      </c>
      <c r="F150" s="2">
        <f>Inputs!$E$2*C150+Inputs!$F$2*D150</f>
        <v>0.0020564023383065995</v>
      </c>
      <c r="G150" s="2">
        <f>Inputs!$E$3*C150+Inputs!$F$3*D150</f>
        <v>-0.0044929599201726</v>
      </c>
      <c r="H150" s="2">
        <f>F150^2</f>
        <v>4.22879057699285e-06</v>
      </c>
      <c r="I150" s="2">
        <f>G150^2</f>
        <v>2.0186688844277374e-05</v>
      </c>
      <c r="J150" s="2">
        <f>LN(1+F150+E150)</f>
        <v>0.002075866106319719</v>
      </c>
      <c r="K150" s="2">
        <f>LN(1+G150+E150)</f>
        <v>-0.004481366389981005</v>
      </c>
      <c r="L150" s="2">
        <f>LN(1+E150)</f>
        <v>2.1619636020914816e-05</v>
      </c>
      <c r="M150" s="2">
        <f>LN(1+C150+E150)</f>
        <v>0.00454064530711672</v>
      </c>
      <c r="N150" s="2">
        <f>LN(1+D150+E150)</f>
        <v>-0.0025935362596471137</v>
      </c>
      <c r="O150" s="2">
        <f>LN(1+C150+E150+Inputs!$B$7/Inputs!$B$9)</f>
        <v>0.0045505209493032096</v>
      </c>
      <c r="P150" s="2">
        <f>LN(1+D150+E150+Inputs!$B$8/Inputs!$B$9)</f>
        <v>-0.0025935362596471137</v>
      </c>
      <c r="Q150" s="2">
        <f>LN(1+E150+Inputs!$B$6/Inputs!$B$9)</f>
        <v>4.1460280078975955e-05</v>
      </c>
    </row>
    <row r="151" spans="1:17">
      <c r="A151" s="3">
        <v>42587</v>
      </c>
      <c r="B151" t="s">
        <v>48</v>
      </c>
      <c r="C151" s="2">
        <v>-0.01451547078330678</v>
      </c>
      <c r="D151" s="2">
        <v>-0.01027557405201583</v>
      </c>
      <c r="E151" s="2">
        <v>2.169891861126921E-05</v>
      </c>
      <c r="F151" s="2">
        <f>Inputs!$E$2*C151+Inputs!$F$2*D151</f>
        <v>-0.0177777210578552</v>
      </c>
      <c r="G151" s="2">
        <f>Inputs!$E$3*C151+Inputs!$F$3*D151</f>
        <v>-0.0079760476274271</v>
      </c>
      <c r="H151" s="2">
        <f>F151^2</f>
        <v>0.0003160473660109082</v>
      </c>
      <c r="I151" s="2">
        <f>G151^2</f>
        <v>6.361733575498547e-05</v>
      </c>
      <c r="J151" s="2">
        <f>LN(1+F151+E151)</f>
        <v>-0.017915551526214935</v>
      </c>
      <c r="K151" s="2">
        <f>LN(1+G151+E151)</f>
        <v>-0.007986153309368511</v>
      </c>
      <c r="L151" s="2">
        <f>LN(1+E151)</f>
        <v>2.169868319290611e-05</v>
      </c>
      <c r="M151" s="2">
        <f>LN(1+C151+E151)</f>
        <v>-0.014599832637333776</v>
      </c>
      <c r="N151" s="2">
        <f>LN(1+D151+E151)</f>
        <v>-0.01030680826843156</v>
      </c>
      <c r="O151" s="2">
        <f>LN(1+C151+E151+Inputs!$B$7/Inputs!$B$9)</f>
        <v>-0.014589766150989439</v>
      </c>
      <c r="P151" s="2">
        <f>LN(1+D151+E151+Inputs!$B$8/Inputs!$B$9)</f>
        <v>-0.01030680826843156</v>
      </c>
      <c r="Q151" s="2">
        <f>LN(1+E151+Inputs!$B$6/Inputs!$B$9)</f>
        <v>4.153932568263606e-05</v>
      </c>
    </row>
    <row r="152" spans="1:17">
      <c r="A152" s="3">
        <v>42590</v>
      </c>
      <c r="B152" t="s">
        <v>48</v>
      </c>
      <c r="C152" s="2">
        <v>-0.002163535912081333</v>
      </c>
      <c r="D152" s="2">
        <v>0.008725292020354058</v>
      </c>
      <c r="E152" s="2">
        <v>2.177796749509897E-05</v>
      </c>
      <c r="F152" s="2">
        <f>Inputs!$E$2*C152+Inputs!$F$2*D152</f>
        <v>0.0035043464825476</v>
      </c>
      <c r="G152" s="2">
        <f>Inputs!$E$3*C152+Inputs!$F$3*D152</f>
        <v>0.0111194111980491</v>
      </c>
      <c r="H152" s="2">
        <f>F152^2</f>
        <v>1.2280444269743738e-05</v>
      </c>
      <c r="I152" s="2">
        <f>G152^2</f>
        <v>0.00012364130539129972</v>
      </c>
      <c r="J152" s="2">
        <f>LN(1+F152+E152)</f>
        <v>0.003519922248770035</v>
      </c>
      <c r="K152" s="2">
        <f>LN(1+G152+E152)</f>
        <v>0.011079583270498248</v>
      </c>
      <c r="L152" s="2">
        <f>LN(1+E152)</f>
        <v>2.1777730358426906e-05</v>
      </c>
      <c r="M152" s="2">
        <f>LN(1+C152+E152)</f>
        <v>-0.0021440547882406245</v>
      </c>
      <c r="N152" s="2">
        <f>LN(1+D152+E152)</f>
        <v>0.008709036000875182</v>
      </c>
      <c r="O152" s="2">
        <f>LN(1+C152+E152+Inputs!$B$7/Inputs!$B$9)</f>
        <v>-0.0021341129095370517</v>
      </c>
      <c r="P152" s="2">
        <f>LN(1+D152+E152+Inputs!$B$8/Inputs!$B$9)</f>
        <v>0.008709036000875182</v>
      </c>
      <c r="Q152" s="2">
        <f>LN(1+E152+Inputs!$B$6/Inputs!$B$9)</f>
        <v>4.161837127982593e-05</v>
      </c>
    </row>
    <row r="153" spans="1:17">
      <c r="A153" s="3">
        <v>42591</v>
      </c>
      <c r="B153" t="s">
        <v>48</v>
      </c>
      <c r="C153" s="2">
        <v>-0.0136319635084033</v>
      </c>
      <c r="D153" s="2">
        <v>-0.01669091599702541</v>
      </c>
      <c r="E153" s="2">
        <v>2.185701637892873E-05</v>
      </c>
      <c r="F153" s="2">
        <f>Inputs!$E$2*C153+Inputs!$F$2*D153</f>
        <v>-0.020920120404937403</v>
      </c>
      <c r="G153" s="2">
        <f>Inputs!$E$3*C153+Inputs!$F$3*D153</f>
        <v>-0.015939510143909104</v>
      </c>
      <c r="H153" s="2">
        <f>F153^2</f>
        <v>0.0004376514377570783</v>
      </c>
      <c r="I153" s="2">
        <f>G153^2</f>
        <v>0.00025406798362778124</v>
      </c>
      <c r="J153" s="2">
        <f>LN(1+F153+E153)</f>
        <v>-0.021119722942301845</v>
      </c>
      <c r="K153" s="2">
        <f>LN(1+G153+E153)</f>
        <v>-0.016045699585342726</v>
      </c>
      <c r="L153" s="2">
        <f>LN(1+E153)</f>
        <v>2.1856777517921288e-05</v>
      </c>
      <c r="M153" s="2">
        <f>LN(1+C153+E153)</f>
        <v>-0.013703573019876666</v>
      </c>
      <c r="N153" s="2">
        <f>LN(1+D153+E153)</f>
        <v>-0.01680955118101451</v>
      </c>
      <c r="O153" s="2">
        <f>LN(1+C153+E153+Inputs!$B$7/Inputs!$B$9)</f>
        <v>-0.013693515551630276</v>
      </c>
      <c r="P153" s="2">
        <f>LN(1+D153+E153+Inputs!$B$8/Inputs!$B$9)</f>
        <v>-0.01680955118101451</v>
      </c>
      <c r="Q153" s="2">
        <f>LN(1+E153+Inputs!$B$6/Inputs!$B$9)</f>
        <v>4.169741687098962e-05</v>
      </c>
    </row>
    <row r="154" spans="1:17">
      <c r="A154" s="3">
        <v>42592</v>
      </c>
      <c r="B154" t="s">
        <v>48</v>
      </c>
      <c r="C154" s="2">
        <v>-0.004036536208791249</v>
      </c>
      <c r="D154" s="2">
        <v>-0.009390325229776385</v>
      </c>
      <c r="E154" s="2">
        <v>2.193606526275849E-05</v>
      </c>
      <c r="F154" s="2">
        <f>Inputs!$E$2*C154+Inputs!$F$2*D154</f>
        <v>-0.0088634241048984</v>
      </c>
      <c r="G154" s="2">
        <f>Inputs!$E$3*C154+Inputs!$F$3*D154</f>
        <v>-0.010057429413093899</v>
      </c>
      <c r="H154" s="2">
        <f>F154^2</f>
        <v>7.856028686329402e-05</v>
      </c>
      <c r="I154" s="2">
        <f>G154^2</f>
        <v>0.0001011518863993663</v>
      </c>
      <c r="J154" s="2">
        <f>LN(1+F154+E154)</f>
        <v>-0.008880805918948787</v>
      </c>
      <c r="K154" s="2">
        <f>LN(1+G154+E154)</f>
        <v>-0.010086188362690865</v>
      </c>
      <c r="L154" s="2">
        <f>LN(1+E154)</f>
        <v>2.193582467094518e-05</v>
      </c>
      <c r="M154" s="2">
        <f>LN(1+C154+E154)</f>
        <v>-0.004022680283622281</v>
      </c>
      <c r="N154" s="2">
        <f>LN(1+D154+E154)</f>
        <v>-0.009412548540159769</v>
      </c>
      <c r="O154" s="2">
        <f>LN(1+C154+E154+Inputs!$B$7/Inputs!$B$9)</f>
        <v>-0.004012719710390409</v>
      </c>
      <c r="P154" s="2">
        <f>LN(1+D154+E154+Inputs!$B$8/Inputs!$B$9)</f>
        <v>-0.009412548540159769</v>
      </c>
      <c r="Q154" s="2">
        <f>LN(1+E154+Inputs!$B$6/Inputs!$B$9)</f>
        <v>4.177646245568308e-05</v>
      </c>
    </row>
    <row r="155" spans="1:17">
      <c r="A155" s="3">
        <v>42593</v>
      </c>
      <c r="B155" t="s">
        <v>48</v>
      </c>
      <c r="C155" s="2">
        <v>0.004686555898645224</v>
      </c>
      <c r="D155" s="2">
        <v>-0.002297306683886137</v>
      </c>
      <c r="E155" s="2">
        <v>2.201511414658825E-05</v>
      </c>
      <c r="F155" s="2">
        <f>Inputs!$E$2*C155+Inputs!$F$2*D155</f>
        <v>0.0023708607085844</v>
      </c>
      <c r="G155" s="2">
        <f>Inputs!$E$3*C155+Inputs!$F$3*D155</f>
        <v>-0.0041627347902567</v>
      </c>
      <c r="H155" s="2">
        <f>F155^2</f>
        <v>5.620980499509324e-06</v>
      </c>
      <c r="I155" s="2">
        <f>G155^2</f>
        <v>1.7328360934013492e-05</v>
      </c>
      <c r="J155" s="2">
        <f>LN(1+F155+E155)</f>
        <v>0.0023900174542856273</v>
      </c>
      <c r="K155" s="2">
        <f>LN(1+G155+E155)</f>
        <v>-0.00414931619454975</v>
      </c>
      <c r="L155" s="2">
        <f>LN(1+E155)</f>
        <v>2.2014871817942657e-05</v>
      </c>
      <c r="M155" s="2">
        <f>LN(1+C155+E155)</f>
        <v>0.0046975203672234124</v>
      </c>
      <c r="N155" s="2">
        <f>LN(1+D155+E155)</f>
        <v>-0.0022778839786732315</v>
      </c>
      <c r="O155" s="2">
        <f>LN(1+C155+E155+Inputs!$B$7/Inputs!$B$9)</f>
        <v>0.004707394460297101</v>
      </c>
      <c r="P155" s="2">
        <f>LN(1+D155+E155+Inputs!$B$8/Inputs!$B$9)</f>
        <v>-0.0022778839786732315</v>
      </c>
      <c r="Q155" s="2">
        <f>LN(1+E155+Inputs!$B$6/Inputs!$B$9)</f>
        <v>4.185550803435037e-05</v>
      </c>
    </row>
    <row r="156" spans="1:17">
      <c r="A156" s="3">
        <v>42594</v>
      </c>
      <c r="B156" t="s">
        <v>48</v>
      </c>
      <c r="C156" s="2">
        <v>0.0004192468863863615</v>
      </c>
      <c r="D156" s="2">
        <v>-0.005956591770050122</v>
      </c>
      <c r="E156" s="2">
        <v>2.209416303041801E-05</v>
      </c>
      <c r="F156" s="2">
        <f>Inputs!$E$2*C156+Inputs!$F$2*D156</f>
        <v>-0.0032385575529211997</v>
      </c>
      <c r="G156" s="2">
        <f>Inputs!$E$3*C156+Inputs!$F$3*D156</f>
        <v>-0.0072736841899758</v>
      </c>
      <c r="H156" s="2">
        <f>F156^2</f>
        <v>1.0488255023582948e-05</v>
      </c>
      <c r="I156" s="2">
        <f>G156^2</f>
        <v>5.29064816955039e-05</v>
      </c>
      <c r="J156" s="2">
        <f>LN(1+F156+E156)</f>
        <v>-0.0032216473272081813</v>
      </c>
      <c r="K156" s="2">
        <f>LN(1+G156+E156)</f>
        <v>-0.007278010610886083</v>
      </c>
      <c r="L156" s="2">
        <f>LN(1+E156)</f>
        <v>2.209391895758149e-05</v>
      </c>
      <c r="M156" s="2">
        <f>LN(1+C156+E156)</f>
        <v>0.0004412436871006098</v>
      </c>
      <c r="N156" s="2">
        <f>LN(1+D156+E156)</f>
        <v>-0.005952176717068396</v>
      </c>
      <c r="O156" s="2">
        <f>LN(1+C156+E156+Inputs!$B$7/Inputs!$B$9)</f>
        <v>0.00045115989640359314</v>
      </c>
      <c r="P156" s="2">
        <f>LN(1+D156+E156+Inputs!$B$8/Inputs!$B$9)</f>
        <v>-0.005952176717068396</v>
      </c>
      <c r="Q156" s="2">
        <f>LN(1+E156+Inputs!$B$6/Inputs!$B$9)</f>
        <v>4.1934553605659276e-05</v>
      </c>
    </row>
    <row r="157" spans="1:17">
      <c r="A157" s="3">
        <v>42597</v>
      </c>
      <c r="B157" t="s">
        <v>48</v>
      </c>
      <c r="C157" s="2">
        <v>-0.0006554003834280912</v>
      </c>
      <c r="D157" s="2">
        <v>0.01039714546743356</v>
      </c>
      <c r="E157" s="2">
        <v>2.217321191424777E-05</v>
      </c>
      <c r="F157" s="2">
        <f>Inputs!$E$2*C157+Inputs!$F$2*D157</f>
        <v>0.0057139669737179995</v>
      </c>
      <c r="G157" s="2">
        <f>Inputs!$E$3*C157+Inputs!$F$3*D157</f>
        <v>0.012673194675949198</v>
      </c>
      <c r="H157" s="2">
        <f>F157^2</f>
        <v>3.264941857674003e-05</v>
      </c>
      <c r="I157" s="2">
        <f>G157^2</f>
        <v>0.0001606098632945071</v>
      </c>
      <c r="J157" s="2">
        <f>LN(1+F157+E157)</f>
        <v>0.005719751176751809</v>
      </c>
      <c r="K157" s="2">
        <f>LN(1+G157+E157)</f>
        <v>0.012615457323584697</v>
      </c>
      <c r="L157" s="2">
        <f>LN(1+E157)</f>
        <v>2.2172966091860025e-05</v>
      </c>
      <c r="M157" s="2">
        <f>LN(1+C157+E157)</f>
        <v>-0.0006334277445160637</v>
      </c>
      <c r="N157" s="2">
        <f>LN(1+D157+E157)</f>
        <v>0.010365411704446527</v>
      </c>
      <c r="O157" s="2">
        <f>LN(1+C157+E157+Inputs!$B$7/Inputs!$B$9)</f>
        <v>-0.000623500872870895</v>
      </c>
      <c r="P157" s="2">
        <f>LN(1+D157+E157+Inputs!$B$8/Inputs!$B$9)</f>
        <v>0.010365411704446527</v>
      </c>
      <c r="Q157" s="2">
        <f>LN(1+E157+Inputs!$B$6/Inputs!$B$9)</f>
        <v>4.201359917160813e-05</v>
      </c>
    </row>
    <row r="158" spans="1:17">
      <c r="A158" s="3">
        <v>42598</v>
      </c>
      <c r="B158" t="s">
        <v>48</v>
      </c>
      <c r="C158" s="2">
        <v>0.0007740674293750693</v>
      </c>
      <c r="D158" s="2">
        <v>-0.003101827249946446</v>
      </c>
      <c r="E158" s="2">
        <v>2.225226079807753E-05</v>
      </c>
      <c r="F158" s="2">
        <f>Inputs!$E$2*C158+Inputs!$F$2*D158</f>
        <v>-0.0012418424064675998</v>
      </c>
      <c r="G158" s="2">
        <f>Inputs!$E$3*C158+Inputs!$F$3*D158</f>
        <v>-0.0039544129287476994</v>
      </c>
      <c r="H158" s="2">
        <f>F158^2</f>
        <v>1.5421725625012392e-06</v>
      </c>
      <c r="I158" s="2">
        <f>G158^2</f>
        <v>1.5637381611046958e-05</v>
      </c>
      <c r="J158" s="2">
        <f>LN(1+F158+E158)</f>
        <v>-0.0012203344509578173</v>
      </c>
      <c r="K158" s="2">
        <f>LN(1+G158+E158)</f>
        <v>-0.003939911937873716</v>
      </c>
      <c r="L158" s="2">
        <f>LN(1+E158)</f>
        <v>2.2252013220112155e-05</v>
      </c>
      <c r="M158" s="2">
        <f>LN(1+C158+E158)</f>
        <v>0.0007960027958701639</v>
      </c>
      <c r="N158" s="2">
        <f>LN(1+D158+E158)</f>
        <v>-0.003084326638085378</v>
      </c>
      <c r="O158" s="2">
        <f>LN(1+C158+E158+Inputs!$B$7/Inputs!$B$9)</f>
        <v>0.0008059154879489287</v>
      </c>
      <c r="P158" s="2">
        <f>LN(1+D158+E158+Inputs!$B$8/Inputs!$B$9)</f>
        <v>-0.003084326638085378</v>
      </c>
      <c r="Q158" s="2">
        <f>LN(1+E158+Inputs!$B$6/Inputs!$B$9)</f>
        <v>4.209264473153081e-05</v>
      </c>
    </row>
    <row r="159" spans="1:17">
      <c r="A159" s="3">
        <v>42599</v>
      </c>
      <c r="B159" t="s">
        <v>48</v>
      </c>
      <c r="C159" s="2">
        <v>0.01204045392917577</v>
      </c>
      <c r="D159" s="2">
        <v>0.01644881874063329</v>
      </c>
      <c r="E159" s="2">
        <v>2.233130968190729E-05</v>
      </c>
      <c r="F159" s="2">
        <f>Inputs!$E$2*C159+Inputs!$F$2*D159</f>
        <v>0.0195016543877206</v>
      </c>
      <c r="G159" s="2">
        <f>Inputs!$E$3*C159+Inputs!$F$3*D159</f>
        <v>0.0161264463100068</v>
      </c>
      <c r="H159" s="2">
        <f>F159^2</f>
        <v>0.0003803145238581021</v>
      </c>
      <c r="I159" s="2">
        <f>G159^2</f>
        <v>0.00026006227058953193</v>
      </c>
      <c r="J159" s="2">
        <f>LN(1+F159+E159)</f>
        <v>0.01933583767803478</v>
      </c>
      <c r="K159" s="2">
        <f>LN(1+G159+E159)</f>
        <v>0.016019773100829287</v>
      </c>
      <c r="L159" s="2">
        <f>LN(1+E159)</f>
        <v>2.2331060342115836e-05</v>
      </c>
      <c r="M159" s="2">
        <f>LN(1+C159+E159)</f>
        <v>0.011990609690685933</v>
      </c>
      <c r="N159" s="2">
        <f>LN(1+D159+E159)</f>
        <v>0.01633697203107767</v>
      </c>
      <c r="O159" s="2">
        <f>LN(1+C159+E159+Inputs!$B$7/Inputs!$B$9)</f>
        <v>0.012000412033428607</v>
      </c>
      <c r="P159" s="2">
        <f>LN(1+D159+E159+Inputs!$B$8/Inputs!$B$9)</f>
        <v>0.01633697203107767</v>
      </c>
      <c r="Q159" s="2">
        <f>LN(1+E159+Inputs!$B$6/Inputs!$B$9)</f>
        <v>4.217169028520529e-05</v>
      </c>
    </row>
    <row r="160" spans="1:17">
      <c r="A160" s="3">
        <v>42600</v>
      </c>
      <c r="B160" t="s">
        <v>48</v>
      </c>
      <c r="C160" s="2">
        <v>-0.008604153875817672</v>
      </c>
      <c r="D160" s="2">
        <v>-0.0004623588114794437</v>
      </c>
      <c r="E160" s="2">
        <v>2.241035856573705E-05</v>
      </c>
      <c r="F160" s="2">
        <f>Inputs!$E$2*C160+Inputs!$F$2*D160</f>
        <v>-0.0071607383875418</v>
      </c>
      <c r="G160" s="2">
        <f>Inputs!$E$3*C160+Inputs!$F$3*D160</f>
        <v>0.0020264155889706</v>
      </c>
      <c r="H160" s="2">
        <f>F160^2</f>
        <v>5.1276174254814735e-05</v>
      </c>
      <c r="I160" s="2">
        <f>G160^2</f>
        <v>4.106360139223063e-06</v>
      </c>
      <c r="J160" s="2">
        <f>LN(1+F160+E160)</f>
        <v>-0.007163927791582655</v>
      </c>
      <c r="K160" s="2">
        <f>LN(1+G160+E160)</f>
        <v>0.0020467299660342523</v>
      </c>
      <c r="L160" s="2">
        <f>LN(1+E160)</f>
        <v>2.2410107457649028e-05</v>
      </c>
      <c r="M160" s="2">
        <f>LN(1+C160+E160)</f>
        <v>-0.00861877871475289</v>
      </c>
      <c r="N160" s="2">
        <f>LN(1+D160+E160)</f>
        <v>-0.0004400452586277315</v>
      </c>
      <c r="O160" s="2">
        <f>LN(1+C160+E160+Inputs!$B$7/Inputs!$B$9)</f>
        <v>-0.00860877225661005</v>
      </c>
      <c r="P160" s="2">
        <f>LN(1+D160+E160+Inputs!$B$8/Inputs!$B$9)</f>
        <v>-0.0004400452586277315</v>
      </c>
      <c r="Q160" s="2">
        <f>LN(1+E160+Inputs!$B$6/Inputs!$B$9)</f>
        <v>4.2250735832409534e-05</v>
      </c>
    </row>
    <row r="161" spans="1:17">
      <c r="A161" s="3">
        <v>42601</v>
      </c>
      <c r="B161" t="s">
        <v>48</v>
      </c>
      <c r="C161" s="2">
        <v>0.007432479337742061</v>
      </c>
      <c r="D161" s="2">
        <v>0.01375874471278791</v>
      </c>
      <c r="E161" s="2">
        <v>2.248940744956681E-05</v>
      </c>
      <c r="F161" s="2">
        <f>Inputs!$E$2*C161+Inputs!$F$2*D161</f>
        <v>0.0142012302978664</v>
      </c>
      <c r="G161" s="2">
        <f>Inputs!$E$3*C161+Inputs!$F$3*D161</f>
        <v>0.014280749854022999</v>
      </c>
      <c r="H161" s="2">
        <f>F161^2</f>
        <v>0.0002016749419730386</v>
      </c>
      <c r="I161" s="2">
        <f>G161^2</f>
        <v>0.0002039398163931779</v>
      </c>
      <c r="J161" s="2">
        <f>LN(1+F161+E161)</f>
        <v>0.014123511706672948</v>
      </c>
      <c r="K161" s="2">
        <f>LN(1+G161+E161)</f>
        <v>0.01420191298780526</v>
      </c>
      <c r="L161" s="2">
        <f>LN(1+E161)</f>
        <v>2.2489154567155818e-05</v>
      </c>
      <c r="M161" s="2">
        <f>LN(1+C161+E161)</f>
        <v>0.00742731780525473</v>
      </c>
      <c r="N161" s="2">
        <f>LN(1+D161+E161)</f>
        <v>0.013687136449043161</v>
      </c>
      <c r="O161" s="2">
        <f>LN(1+C161+E161+Inputs!$B$7/Inputs!$B$9)</f>
        <v>0.007437164980943374</v>
      </c>
      <c r="P161" s="2">
        <f>LN(1+D161+E161+Inputs!$B$8/Inputs!$B$9)</f>
        <v>0.013687136449043161</v>
      </c>
      <c r="Q161" s="2">
        <f>LN(1+E161+Inputs!$B$6/Inputs!$B$9)</f>
        <v>4.232978137358762e-05</v>
      </c>
    </row>
    <row r="162" spans="1:17">
      <c r="A162" s="3">
        <v>42604</v>
      </c>
      <c r="B162" t="s">
        <v>48</v>
      </c>
      <c r="C162" s="2">
        <v>-0.0119750127800862</v>
      </c>
      <c r="D162" s="2">
        <v>0.003598796444989388</v>
      </c>
      <c r="E162" s="2">
        <v>2.256845633339657E-05</v>
      </c>
      <c r="F162" s="2">
        <f>Inputs!$E$2*C162+Inputs!$F$2*D162</f>
        <v>-0.0074207323570754</v>
      </c>
      <c r="G162" s="2">
        <f>Inputs!$E$3*C162+Inputs!$F$3*D162</f>
        <v>0.0079110595680126</v>
      </c>
      <c r="H162" s="2">
        <f>F162^2</f>
        <v>5.506726871534582e-05</v>
      </c>
      <c r="I162" s="2">
        <f>G162^2</f>
        <v>6.258486348864372e-05</v>
      </c>
      <c r="J162" s="2">
        <f>LN(1+F162+E162)</f>
        <v>-0.007425666042821036</v>
      </c>
      <c r="K162" s="2">
        <f>LN(1+G162+E162)</f>
        <v>0.007902322267342759</v>
      </c>
      <c r="L162" s="2">
        <f>LN(1+E162)</f>
        <v>2.2568201669303962e-05</v>
      </c>
      <c r="M162" s="2">
        <f>LN(1+C162+E162)</f>
        <v>-0.012024449117084505</v>
      </c>
      <c r="N162" s="2">
        <f>LN(1+D162+E162)</f>
        <v>0.0036148235471115835</v>
      </c>
      <c r="O162" s="2">
        <f>LN(1+C162+E162+Inputs!$B$7/Inputs!$B$9)</f>
        <v>-0.012014408522318372</v>
      </c>
      <c r="P162" s="2">
        <f>LN(1+D162+E162+Inputs!$B$8/Inputs!$B$9)</f>
        <v>0.0036148235471115835</v>
      </c>
      <c r="Q162" s="2">
        <f>LN(1+E162+Inputs!$B$6/Inputs!$B$9)</f>
        <v>4.240882690740733e-05</v>
      </c>
    </row>
    <row r="163" spans="1:17">
      <c r="A163" s="3">
        <v>42605</v>
      </c>
      <c r="B163" t="s">
        <v>48</v>
      </c>
      <c r="C163" s="2">
        <v>-0.003743251640221775</v>
      </c>
      <c r="D163" s="2">
        <v>-0.002770777631894483</v>
      </c>
      <c r="E163" s="2">
        <v>2.264750521722633E-05</v>
      </c>
      <c r="F163" s="2">
        <f>Inputs!$E$2*C163+Inputs!$F$2*D163</f>
        <v>-0.004657067891314</v>
      </c>
      <c r="G163" s="2">
        <f>Inputs!$E$3*C163+Inputs!$F$3*D163</f>
        <v>-0.0022019576662062005</v>
      </c>
      <c r="H163" s="2">
        <f>F163^2</f>
        <v>2.1688281344307826e-05</v>
      </c>
      <c r="I163" s="2">
        <f>G163^2</f>
        <v>4.848617563764257e-06</v>
      </c>
      <c r="J163" s="2">
        <f>LN(1+F163+E163)</f>
        <v>-0.004645192607140576</v>
      </c>
      <c r="K163" s="2">
        <f>LN(1+G163+E163)</f>
        <v>-0.0021816883131605086</v>
      </c>
      <c r="L163" s="2">
        <f>LN(1+E163)</f>
        <v>2.264724876609182e-05</v>
      </c>
      <c r="M163" s="2">
        <f>LN(1+C163+E163)</f>
        <v>-0.0037275427985968795</v>
      </c>
      <c r="N163" s="2">
        <f>LN(1+D163+E163)</f>
        <v>-0.002751913168724435</v>
      </c>
      <c r="O163" s="2">
        <f>LN(1+C163+E163+Inputs!$B$7/Inputs!$B$9)</f>
        <v>-0.0037175851646551366</v>
      </c>
      <c r="P163" s="2">
        <f>LN(1+D163+E163+Inputs!$B$8/Inputs!$B$9)</f>
        <v>-0.002751913168724435</v>
      </c>
      <c r="Q163" s="2">
        <f>LN(1+E163+Inputs!$B$6/Inputs!$B$9)</f>
        <v>4.248787243586699e-05</v>
      </c>
    </row>
    <row r="164" spans="1:17">
      <c r="A164" s="3">
        <v>42606</v>
      </c>
      <c r="B164" t="s">
        <v>48</v>
      </c>
      <c r="C164" s="2">
        <v>0.00159279297030761</v>
      </c>
      <c r="D164" s="2">
        <v>-0.003037253332211684</v>
      </c>
      <c r="E164" s="2">
        <v>2.272655410105609E-05</v>
      </c>
      <c r="F164" s="2">
        <f>Inputs!$E$2*C164+Inputs!$F$2*D164</f>
        <v>-0.0005481176230807997</v>
      </c>
      <c r="G164" s="2">
        <f>Inputs!$E$3*C164+Inputs!$F$3*D164</f>
        <v>-0.004122541889746799</v>
      </c>
      <c r="H164" s="2">
        <f>F164^2</f>
        <v>3.0043292873174565e-07</v>
      </c>
      <c r="I164" s="2">
        <f>G164^2</f>
        <v>1.699535163271711e-05</v>
      </c>
      <c r="J164" s="2">
        <f>LN(1+F164+E164)</f>
        <v>-0.0005255291352288461</v>
      </c>
      <c r="K164" s="2">
        <f>LN(1+G164+E164)</f>
        <v>-0.004108242619965402</v>
      </c>
      <c r="L164" s="2">
        <f>LN(1+E164)</f>
        <v>2.2726295856853277e-05</v>
      </c>
      <c r="M164" s="2">
        <f>LN(1+C164+E164)</f>
        <v>0.001614215976491327</v>
      </c>
      <c r="N164" s="2">
        <f>LN(1+D164+E164)</f>
        <v>-0.0030190796160291687</v>
      </c>
      <c r="O164" s="2">
        <f>LN(1+C164+E164+Inputs!$B$7/Inputs!$B$9)</f>
        <v>0.0016241205612321616</v>
      </c>
      <c r="P164" s="2">
        <f>LN(1+D164+E164+Inputs!$B$8/Inputs!$B$9)</f>
        <v>-0.0030190796160291687</v>
      </c>
      <c r="Q164" s="2">
        <f>LN(1+E164+Inputs!$B$6/Inputs!$B$9)</f>
        <v>4.256691795830048e-05</v>
      </c>
    </row>
    <row r="165" spans="1:17">
      <c r="A165" s="3">
        <v>42607</v>
      </c>
      <c r="B165" t="s">
        <v>48</v>
      </c>
      <c r="C165" s="2">
        <v>-0.006566338419408857</v>
      </c>
      <c r="D165" s="2">
        <v>0.008279566465719085</v>
      </c>
      <c r="E165" s="2">
        <v>2.280560298488585E-05</v>
      </c>
      <c r="F165" s="2">
        <f>Inputs!$E$2*C165+Inputs!$F$2*D165</f>
        <v>-0.00028533085609580046</v>
      </c>
      <c r="G165" s="2">
        <f>Inputs!$E$3*C165+Inputs!$F$3*D165</f>
        <v>0.0119053812846855</v>
      </c>
      <c r="H165" s="2">
        <f>F165^2</f>
        <v>8.141369744036239e-08</v>
      </c>
      <c r="I165" s="2">
        <f>G165^2</f>
        <v>0.00014173810353373977</v>
      </c>
      <c r="J165" s="2">
        <f>LN(1+F165+E165)</f>
        <v>-0.00026255971889736437</v>
      </c>
      <c r="K165" s="2">
        <f>LN(1+G165+E165)</f>
        <v>0.011857606773934</v>
      </c>
      <c r="L165" s="2">
        <f>LN(1+E165)</f>
        <v>2.2805342941144252e-05</v>
      </c>
      <c r="M165" s="2">
        <f>LN(1+C165+E165)</f>
        <v>-0.006565035581311677</v>
      </c>
      <c r="N165" s="2">
        <f>LN(1+D165+E165)</f>
        <v>0.00826809695686569</v>
      </c>
      <c r="O165" s="2">
        <f>LN(1+C165+E165+Inputs!$B$7/Inputs!$B$9)</f>
        <v>-0.00655504965267255</v>
      </c>
      <c r="P165" s="2">
        <f>LN(1+D165+E165+Inputs!$B$8/Inputs!$B$9)</f>
        <v>0.00826809695686569</v>
      </c>
      <c r="Q165" s="2">
        <f>LN(1+E165+Inputs!$B$6/Inputs!$B$9)</f>
        <v>4.264596347426375e-05</v>
      </c>
    </row>
    <row r="166" spans="1:17">
      <c r="A166" s="3">
        <v>42608</v>
      </c>
      <c r="B166" t="s">
        <v>48</v>
      </c>
      <c r="C166" s="2">
        <v>0.00186730234253715</v>
      </c>
      <c r="D166" s="2">
        <v>-0.005128382382118967</v>
      </c>
      <c r="E166" s="2">
        <v>2.288465186871562E-05</v>
      </c>
      <c r="F166" s="2">
        <f>Inputs!$E$2*C166+Inputs!$F$2*D166</f>
        <v>-0.0015831875552418002</v>
      </c>
      <c r="G166" s="2">
        <f>Inputs!$E$3*C166+Inputs!$F$3*D166</f>
        <v>-0.0067142495613039</v>
      </c>
      <c r="H166" s="2">
        <f>F166^2</f>
        <v>2.5064828350725083e-06</v>
      </c>
      <c r="I166" s="2">
        <f>G166^2</f>
        <v>4.5081147171469616e-05</v>
      </c>
      <c r="J166" s="2">
        <f>LN(1+F166+E166)</f>
        <v>-0.0015615214436408645</v>
      </c>
      <c r="K166" s="2">
        <f>LN(1+G166+E166)</f>
        <v>-0.006713852462697968</v>
      </c>
      <c r="L166" s="2">
        <f>LN(1+E166)</f>
        <v>2.2884390019408825e-05</v>
      </c>
      <c r="M166" s="2">
        <f>LN(1+C166+E166)</f>
        <v>0.0018884028388738276</v>
      </c>
      <c r="N166" s="2">
        <f>LN(1+D166+E166)</f>
        <v>-0.0051185753144942295</v>
      </c>
      <c r="O166" s="2">
        <f>LN(1+C166+E166+Inputs!$B$7/Inputs!$B$9)</f>
        <v>0.0018983047082933638</v>
      </c>
      <c r="P166" s="2">
        <f>LN(1+D166+E166+Inputs!$B$8/Inputs!$B$9)</f>
        <v>-0.0051185753144942295</v>
      </c>
      <c r="Q166" s="2">
        <f>LN(1+E166+Inputs!$B$6/Inputs!$B$9)</f>
        <v>4.272500898420086e-05</v>
      </c>
    </row>
    <row r="167" spans="1:17">
      <c r="A167" s="3">
        <v>42611</v>
      </c>
      <c r="B167" t="s">
        <v>48</v>
      </c>
      <c r="C167" s="2">
        <v>0.005830403311549088</v>
      </c>
      <c r="D167" s="2">
        <v>-0.0008005884425722353</v>
      </c>
      <c r="E167" s="2">
        <v>2.296370075254538E-05</v>
      </c>
      <c r="F167" s="2">
        <f>Inputs!$E$2*C167+Inputs!$F$2*D167</f>
        <v>0.0041839695836960004</v>
      </c>
      <c r="G167" s="2">
        <f>Inputs!$E$3*C167+Inputs!$F$3*D167</f>
        <v>-0.0027098271245511</v>
      </c>
      <c r="H167" s="2">
        <f>F167^2</f>
        <v>1.7505601477293284e-05</v>
      </c>
      <c r="I167" s="2">
        <f>G167^2</f>
        <v>7.343163044952883e-06</v>
      </c>
      <c r="J167" s="2">
        <f>LN(1+F167+E167)</f>
        <v>0.0041981088810795104</v>
      </c>
      <c r="K167" s="2">
        <f>LN(1+G167+E167)</f>
        <v>-0.0026904795200841133</v>
      </c>
      <c r="L167" s="2">
        <f>LN(1+E167)</f>
        <v>2.296343709120292e-05</v>
      </c>
      <c r="M167" s="2">
        <f>LN(1+C167+E167)</f>
        <v>0.005836302616678568</v>
      </c>
      <c r="N167" s="2">
        <f>LN(1+D167+E167)</f>
        <v>-0.000777927248773278</v>
      </c>
      <c r="O167" s="2">
        <f>LN(1+C167+E167+Inputs!$B$7/Inputs!$B$9)</f>
        <v>0.005846165471765809</v>
      </c>
      <c r="P167" s="2">
        <f>LN(1+D167+E167+Inputs!$B$8/Inputs!$B$9)</f>
        <v>-0.000777927248773278</v>
      </c>
      <c r="Q167" s="2">
        <f>LN(1+E167+Inputs!$B$6/Inputs!$B$9)</f>
        <v>4.280405448766774e-05</v>
      </c>
    </row>
    <row r="168" spans="1:17">
      <c r="A168" s="3">
        <v>42612</v>
      </c>
      <c r="B168" t="s">
        <v>48</v>
      </c>
      <c r="C168" s="2">
        <v>-0.008804767591254455</v>
      </c>
      <c r="D168" s="2">
        <v>-0.0068072847323475</v>
      </c>
      <c r="E168" s="2">
        <v>2.304274963637513E-05</v>
      </c>
      <c r="F168" s="2">
        <f>Inputs!$E$2*C168+Inputs!$F$2*D168</f>
        <v>-0.0111281849124114</v>
      </c>
      <c r="G168" s="2">
        <f>Inputs!$E$3*C168+Inputs!$F$3*D168</f>
        <v>-0.005527311401440199</v>
      </c>
      <c r="H168" s="2">
        <f>F168^2</f>
        <v>0.0001238364994448207</v>
      </c>
      <c r="I168" s="2">
        <f>G168^2</f>
        <v>3.0551171328490816e-05</v>
      </c>
      <c r="J168" s="2">
        <f>LN(1+F168+E168)</f>
        <v>-0.011167264601170911</v>
      </c>
      <c r="K168" s="2">
        <f>LN(1+G168+E168)</f>
        <v>-0.0055194729565518985</v>
      </c>
      <c r="L168" s="2">
        <f>LN(1+E168)</f>
        <v>2.3042484155860413e-05</v>
      </c>
      <c r="M168" s="2">
        <f>LN(1+C168+E168)</f>
        <v>-0.008820511429602655</v>
      </c>
      <c r="N168" s="2">
        <f>LN(1+D168+E168)</f>
        <v>-0.006807359568541614</v>
      </c>
      <c r="O168" s="2">
        <f>LN(1+C168+E168+Inputs!$B$7/Inputs!$B$9)</f>
        <v>-0.008810502952636325</v>
      </c>
      <c r="P168" s="2">
        <f>LN(1+D168+E168+Inputs!$B$8/Inputs!$B$9)</f>
        <v>-0.006807359568541614</v>
      </c>
      <c r="Q168" s="2">
        <f>LN(1+E168+Inputs!$B$6/Inputs!$B$9)</f>
        <v>4.288309998399829e-05</v>
      </c>
    </row>
    <row r="169" spans="1:17">
      <c r="A169" s="3">
        <v>42613</v>
      </c>
      <c r="B169" t="s">
        <v>48</v>
      </c>
      <c r="C169" s="2">
        <v>-0.0003614593436716407</v>
      </c>
      <c r="D169" s="2">
        <v>-0.01659079771295354</v>
      </c>
      <c r="E169" s="2">
        <v>2.31217985202049E-05</v>
      </c>
      <c r="F169" s="2">
        <f>Inputs!$E$2*C169+Inputs!$F$2*D169</f>
        <v>-0.010243646102709999</v>
      </c>
      <c r="G169" s="2">
        <f>Inputs!$E$3*C169+Inputs!$F$3*D169</f>
        <v>-0.0198005194524432</v>
      </c>
      <c r="H169" s="2">
        <f>F169^2</f>
        <v>0.00010493228547756574</v>
      </c>
      <c r="I169" s="2">
        <f>G169^2</f>
        <v>0.0003920605705865816</v>
      </c>
      <c r="J169" s="2">
        <f>LN(1+F169+E169)</f>
        <v>-0.010273112488787546</v>
      </c>
      <c r="K169" s="2">
        <f>LN(1+G169+E169)</f>
        <v>-0.019975587859997337</v>
      </c>
      <c r="L169" s="2">
        <f>LN(1+E169)</f>
        <v>2.312153121537967e-05</v>
      </c>
      <c r="M169" s="2">
        <f>LN(1+C169+E169)</f>
        <v>-0.0003383947942125993</v>
      </c>
      <c r="N169" s="2">
        <f>LN(1+D169+E169)</f>
        <v>-0.01670645482152828</v>
      </c>
      <c r="O169" s="2">
        <f>LN(1+C169+E169+Inputs!$B$7/Inputs!$B$9)</f>
        <v>-0.00032847085087513205</v>
      </c>
      <c r="P169" s="2">
        <f>LN(1+D169+E169+Inputs!$B$8/Inputs!$B$9)</f>
        <v>-0.01670645482152828</v>
      </c>
      <c r="Q169" s="2">
        <f>LN(1+E169+Inputs!$B$6/Inputs!$B$9)</f>
        <v>4.2962145475190826e-05</v>
      </c>
    </row>
    <row r="170" spans="1:17">
      <c r="A170" s="3">
        <v>42614</v>
      </c>
      <c r="B170" t="s">
        <v>49</v>
      </c>
      <c r="C170" s="2">
        <v>-0.002578792174000132</v>
      </c>
      <c r="D170" s="2">
        <v>0.004247371396471996</v>
      </c>
      <c r="E170" s="2">
        <v>2.320084740403465E-05</v>
      </c>
      <c r="F170" s="2">
        <f>Inputs!$E$2*C170+Inputs!$F$2*D170</f>
        <v>0.00048538909868319977</v>
      </c>
      <c r="G170" s="2">
        <f>Inputs!$E$3*C170+Inputs!$F$3*D170</f>
        <v>0.0058704833279664</v>
      </c>
      <c r="H170" s="2">
        <f>F170^2</f>
        <v>2.3560257712048903e-07</v>
      </c>
      <c r="I170" s="2">
        <f>G170^2</f>
        <v>3.446257450393146e-05</v>
      </c>
      <c r="J170" s="2">
        <f>LN(1+F170+E170)</f>
        <v>0.0005084606580549535</v>
      </c>
      <c r="K170" s="2">
        <f>LN(1+G170+E170)</f>
        <v>0.005876384358615148</v>
      </c>
      <c r="L170" s="2">
        <f>LN(1+E170)</f>
        <v>2.320057826842845e-05</v>
      </c>
      <c r="M170" s="2">
        <f>LN(1+C170+E170)</f>
        <v>-0.0025588624243581544</v>
      </c>
      <c r="N170" s="2">
        <f>LN(1+D170+E170)</f>
        <v>0.004261479229289016</v>
      </c>
      <c r="O170" s="2">
        <f>LN(1+C170+E170+Inputs!$B$7/Inputs!$B$9)</f>
        <v>-0.002548916420852446</v>
      </c>
      <c r="P170" s="2">
        <f>LN(1+D170+E170+Inputs!$B$8/Inputs!$B$9)</f>
        <v>0.004261479229289016</v>
      </c>
      <c r="Q170" s="2">
        <f>LN(1+E170+Inputs!$B$6/Inputs!$B$9)</f>
        <v>4.304119095991314e-05</v>
      </c>
    </row>
    <row r="171" spans="1:17">
      <c r="A171" s="3">
        <v>42615</v>
      </c>
      <c r="B171" t="s">
        <v>49</v>
      </c>
      <c r="C171" s="2">
        <v>-0.01386698409753919</v>
      </c>
      <c r="D171" s="2">
        <v>0.004935317776268443</v>
      </c>
      <c r="E171" s="2">
        <v>2.327989628786441E-05</v>
      </c>
      <c r="F171" s="2">
        <f>Inputs!$E$2*C171+Inputs!$F$2*D171</f>
        <v>-0.008132396612270401</v>
      </c>
      <c r="G171" s="2">
        <f>Inputs!$E$3*C171+Inputs!$F$3*D171</f>
        <v>0.0100824765607833</v>
      </c>
      <c r="H171" s="2">
        <f>F171^2</f>
        <v>6.61358746592671e-05</v>
      </c>
      <c r="I171" s="2">
        <f>G171^2</f>
        <v>0.00010165633359874463</v>
      </c>
      <c r="J171" s="2">
        <f>LN(1+F171+E171)</f>
        <v>-0.008142174436842115</v>
      </c>
      <c r="K171" s="2">
        <f>LN(1+G171+E171)</f>
        <v>0.010055034734962203</v>
      </c>
      <c r="L171" s="2">
        <f>LN(1+E171)</f>
        <v>2.3279625315450833e-05</v>
      </c>
      <c r="M171" s="2">
        <f>LN(1+C171+E171)</f>
        <v>-0.013940421932804833</v>
      </c>
      <c r="N171" s="2">
        <f>LN(1+D171+E171)</f>
        <v>0.004946344316731025</v>
      </c>
      <c r="O171" s="2">
        <f>LN(1+C171+E171+Inputs!$B$7/Inputs!$B$9)</f>
        <v>-0.013930362082187885</v>
      </c>
      <c r="P171" s="2">
        <f>LN(1+D171+E171+Inputs!$B$8/Inputs!$B$9)</f>
        <v>0.004946344316731025</v>
      </c>
      <c r="Q171" s="2">
        <f>LN(1+E171+Inputs!$B$6/Inputs!$B$9)</f>
        <v>4.31202364386093e-05</v>
      </c>
    </row>
    <row r="172" spans="1:17">
      <c r="A172" s="3">
        <v>42619</v>
      </c>
      <c r="B172" t="s">
        <v>49</v>
      </c>
      <c r="C172" s="2">
        <v>-0.001273480346076074</v>
      </c>
      <c r="D172" s="2">
        <v>-0.0106826803195845</v>
      </c>
      <c r="E172" s="2">
        <v>2.335894517169418E-05</v>
      </c>
      <c r="F172" s="2">
        <f>Inputs!$E$2*C172+Inputs!$F$2*D172</f>
        <v>-0.0074283924686112</v>
      </c>
      <c r="G172" s="2">
        <f>Inputs!$E$3*C172+Inputs!$F$3*D172</f>
        <v>-0.012437172279678</v>
      </c>
      <c r="H172" s="2">
        <f>F172^2</f>
        <v>5.51810146677196e-05</v>
      </c>
      <c r="I172" s="2">
        <f>G172^2</f>
        <v>0.00015468325431439083</v>
      </c>
      <c r="J172" s="2">
        <f>LN(1+F172+E172)</f>
        <v>-0.00743258689085767</v>
      </c>
      <c r="K172" s="2">
        <f>LN(1+G172+E172)</f>
        <v>-0.012491508379388075</v>
      </c>
      <c r="L172" s="2">
        <f>LN(1+E172)</f>
        <v>2.335867235600274e-05</v>
      </c>
      <c r="M172" s="2">
        <f>LN(1+C172+E172)</f>
        <v>-0.0012509034545050426</v>
      </c>
      <c r="N172" s="2">
        <f>LN(1+D172+E172)</f>
        <v>-0.010716538903756663</v>
      </c>
      <c r="O172" s="2">
        <f>LN(1+C172+E172+Inputs!$B$7/Inputs!$B$9)</f>
        <v>-0.001240970451395379</v>
      </c>
      <c r="P172" s="2">
        <f>LN(1+D172+E172+Inputs!$B$8/Inputs!$B$9)</f>
        <v>-0.010716538903756663</v>
      </c>
      <c r="Q172" s="2">
        <f>LN(1+E172+Inputs!$B$6/Inputs!$B$9)</f>
        <v>4.3199281910835236e-05</v>
      </c>
    </row>
    <row r="173" spans="1:17">
      <c r="A173" s="3">
        <v>42620</v>
      </c>
      <c r="B173" t="s">
        <v>49</v>
      </c>
      <c r="C173" s="2">
        <v>-0.005986582361065976</v>
      </c>
      <c r="D173" s="2">
        <v>0.003497413499265615</v>
      </c>
      <c r="E173" s="2">
        <v>2.343799405552394E-05</v>
      </c>
      <c r="F173" s="2">
        <f>Inputs!$E$2*C173+Inputs!$F$2*D173</f>
        <v>-0.0026908177892932005</v>
      </c>
      <c r="G173" s="2">
        <f>Inputs!$E$3*C173+Inputs!$F$3*D173</f>
        <v>0.005992870907439</v>
      </c>
      <c r="H173" s="2">
        <f>F173^2</f>
        <v>7.240500375176747e-06</v>
      </c>
      <c r="I173" s="2">
        <f>G173^2</f>
        <v>3.591450171322874e-05</v>
      </c>
      <c r="J173" s="2">
        <f>LN(1+F173+E173)</f>
        <v>-0.002670943591465971</v>
      </c>
      <c r="K173" s="2">
        <f>LN(1+G173+E173)</f>
        <v>0.005998283177845225</v>
      </c>
      <c r="L173" s="2">
        <f>LN(1+E173)</f>
        <v>2.3437719390528253e-05</v>
      </c>
      <c r="M173" s="2">
        <f>LN(1+C173+E173)</f>
        <v>-0.005980994911339191</v>
      </c>
      <c r="N173" s="2">
        <f>LN(1+D173+E173)</f>
        <v>0.003514667806015496</v>
      </c>
      <c r="O173" s="2">
        <f>LN(1+C173+E173+Inputs!$B$7/Inputs!$B$9)</f>
        <v>-0.005971014813156635</v>
      </c>
      <c r="P173" s="2">
        <f>LN(1+D173+E173+Inputs!$B$8/Inputs!$B$9)</f>
        <v>0.003514667806015496</v>
      </c>
      <c r="Q173" s="2">
        <f>LN(1+E173+Inputs!$B$6/Inputs!$B$9)</f>
        <v>4.327832737703502e-05</v>
      </c>
    </row>
    <row r="174" spans="1:17">
      <c r="A174" s="3">
        <v>42621</v>
      </c>
      <c r="B174" t="s">
        <v>49</v>
      </c>
      <c r="C174" s="2">
        <v>0.01059214164541453</v>
      </c>
      <c r="D174" s="2">
        <v>-0.002576725422295253</v>
      </c>
      <c r="E174" s="2">
        <v>2.35170429393537E-05</v>
      </c>
      <c r="F174" s="2">
        <f>Inputs!$E$2*C174+Inputs!$F$2*D174</f>
        <v>0.006927678062955001</v>
      </c>
      <c r="G174" s="2">
        <f>Inputs!$E$3*C174+Inputs!$F$3*D174</f>
        <v>-0.0062697130003785</v>
      </c>
      <c r="H174" s="2">
        <f>F174^2</f>
        <v>4.7992723343947955e-05</v>
      </c>
      <c r="I174" s="2">
        <f>G174^2</f>
        <v>3.930930110711517e-05</v>
      </c>
      <c r="J174" s="2">
        <f>LN(1+F174+E174)</f>
        <v>0.006927146927265102</v>
      </c>
      <c r="K174" s="2">
        <f>LN(1+G174+E174)</f>
        <v>-0.006265785053565538</v>
      </c>
      <c r="L174" s="2">
        <f>LN(1+E174)</f>
        <v>2.3516766417695137e-05</v>
      </c>
      <c r="M174" s="2">
        <f>LN(1+C174+E174)</f>
        <v>0.010559708202847105</v>
      </c>
      <c r="N174" s="2">
        <f>LN(1+D174+E174)</f>
        <v>-0.0025564733745296465</v>
      </c>
      <c r="O174" s="2">
        <f>LN(1+C174+E174+Inputs!$B$7/Inputs!$B$9)</f>
        <v>0.010569524581747534</v>
      </c>
      <c r="P174" s="2">
        <f>LN(1+D174+E174+Inputs!$B$8/Inputs!$B$9)</f>
        <v>-0.0025564733745296465</v>
      </c>
      <c r="Q174" s="2">
        <f>LN(1+E174+Inputs!$B$6/Inputs!$B$9)</f>
        <v>4.335737283587644e-05</v>
      </c>
    </row>
    <row r="175" spans="1:17">
      <c r="A175" s="3">
        <v>42622</v>
      </c>
      <c r="B175" t="s">
        <v>49</v>
      </c>
      <c r="C175" s="2">
        <v>-0.006781059129506366</v>
      </c>
      <c r="D175" s="2">
        <v>-0.01575814622814659</v>
      </c>
      <c r="E175" s="2">
        <v>2.359609182318346E-05</v>
      </c>
      <c r="F175" s="2">
        <f>Inputs!$E$2*C175+Inputs!$F$2*D175</f>
        <v>-0.014879735040493</v>
      </c>
      <c r="G175" s="2">
        <f>Inputs!$E$3*C175+Inputs!$F$3*D175</f>
        <v>-0.016875457734924597</v>
      </c>
      <c r="H175" s="2">
        <f>F175^2</f>
        <v>0.0002214065148752752</v>
      </c>
      <c r="I175" s="2">
        <f>G175^2</f>
        <v>0.0002847810737632264</v>
      </c>
      <c r="J175" s="2">
        <f>LN(1+F175+E175)</f>
        <v>-0.014967596645816716</v>
      </c>
      <c r="K175" s="2">
        <f>LN(1+G175+E175)</f>
        <v>-0.01699546992777298</v>
      </c>
      <c r="L175" s="2">
        <f>LN(1+E175)</f>
        <v>2.3595813439501745e-05</v>
      </c>
      <c r="M175" s="2">
        <f>LN(1+C175+E175)</f>
        <v>-0.0067803980711899645</v>
      </c>
      <c r="N175" s="2">
        <f>LN(1+D175+E175)</f>
        <v>-0.01585965218859919</v>
      </c>
      <c r="O175" s="2">
        <f>LN(1+C175+E175+Inputs!$B$7/Inputs!$B$9)</f>
        <v>-0.006770409991735528</v>
      </c>
      <c r="P175" s="2">
        <f>LN(1+D175+E175+Inputs!$B$8/Inputs!$B$9)</f>
        <v>-0.01585965218859919</v>
      </c>
      <c r="Q175" s="2">
        <f>LN(1+E175+Inputs!$B$6/Inputs!$B$9)</f>
        <v>4.3436418289357824e-05</v>
      </c>
    </row>
    <row r="176" spans="1:17">
      <c r="A176" s="3">
        <v>42625</v>
      </c>
      <c r="B176" t="s">
        <v>49</v>
      </c>
      <c r="C176" s="2">
        <v>0.01380315349244953</v>
      </c>
      <c r="D176" s="2">
        <v>-0.008995271926558069</v>
      </c>
      <c r="E176" s="2">
        <v>2.367514070701322E-05</v>
      </c>
      <c r="F176" s="2">
        <f>Inputs!$E$2*C176+Inputs!$F$2*D176</f>
        <v>0.005645359638025201</v>
      </c>
      <c r="G176" s="2">
        <f>Inputs!$E$3*C176+Inputs!$F$3*D176</f>
        <v>-0.014935272359604599</v>
      </c>
      <c r="H176" s="2">
        <f>F176^2</f>
        <v>3.1870085442644033e-05</v>
      </c>
      <c r="I176" s="2">
        <f>G176^2</f>
        <v>0.00022306236045556912</v>
      </c>
      <c r="J176" s="2">
        <f>LN(1+F176+E176)</f>
        <v>0.005653026274420007</v>
      </c>
      <c r="K176" s="2">
        <f>LN(1+G176+E176)</f>
        <v>-0.015023892820902532</v>
      </c>
      <c r="L176" s="2">
        <f>LN(1+E176)</f>
        <v>2.367486045528196e-05</v>
      </c>
      <c r="M176" s="2">
        <f>LN(1+C176+E176)</f>
        <v>0.013732110143677949</v>
      </c>
      <c r="N176" s="2">
        <f>LN(1+D176+E176)</f>
        <v>-0.009012083898241739</v>
      </c>
      <c r="O176" s="2">
        <f>LN(1+C176+E176+Inputs!$B$7/Inputs!$B$9)</f>
        <v>0.013741895430575508</v>
      </c>
      <c r="P176" s="2">
        <f>LN(1+D176+E176+Inputs!$B$8/Inputs!$B$9)</f>
        <v>-0.009012083898241739</v>
      </c>
      <c r="Q176" s="2">
        <f>LN(1+E176+Inputs!$B$6/Inputs!$B$9)</f>
        <v>4.3515463736813055e-05</v>
      </c>
    </row>
    <row r="177" spans="1:17">
      <c r="A177" s="3">
        <v>42626</v>
      </c>
      <c r="B177" t="s">
        <v>49</v>
      </c>
      <c r="C177" s="2">
        <v>-0.004350282062511424</v>
      </c>
      <c r="D177" s="2">
        <v>0.005343371090034407</v>
      </c>
      <c r="E177" s="2">
        <v>2.375418959084298E-05</v>
      </c>
      <c r="F177" s="2">
        <f>Inputs!$E$2*C177+Inputs!$F$2*D177</f>
        <v>-0.00027420299598840056</v>
      </c>
      <c r="G177" s="2">
        <f>Inputs!$E$3*C177+Inputs!$F$3*D177</f>
        <v>0.0077171299267940995</v>
      </c>
      <c r="H177" s="2">
        <f>F177^2</f>
        <v>7.518728300901482e-08</v>
      </c>
      <c r="I177" s="2">
        <f>G177^2</f>
        <v>5.95540943070211e-05</v>
      </c>
      <c r="J177" s="2">
        <f>LN(1+F177+E177)</f>
        <v>-0.00025048017393708286</v>
      </c>
      <c r="K177" s="2">
        <f>LN(1+G177+E177)</f>
        <v>0.007711077195396026</v>
      </c>
      <c r="L177" s="2">
        <f>LN(1+E177)</f>
        <v>2.3753907464813747e-05</v>
      </c>
      <c r="M177" s="2">
        <f>LN(1+C177+E177)</f>
        <v>-0.004335914378406588</v>
      </c>
      <c r="N177" s="2">
        <f>LN(1+D177+E177)</f>
        <v>0.005352773591378623</v>
      </c>
      <c r="O177" s="2">
        <f>LN(1+C177+E177+Inputs!$B$7/Inputs!$B$9)</f>
        <v>-0.0043259506847104275</v>
      </c>
      <c r="P177" s="2">
        <f>LN(1+D177+E177+Inputs!$B$8/Inputs!$B$9)</f>
        <v>0.005352773591378623</v>
      </c>
      <c r="Q177" s="2">
        <f>LN(1+E177+Inputs!$B$6/Inputs!$B$9)</f>
        <v>4.3594509178020103e-05</v>
      </c>
    </row>
    <row r="178" spans="1:17">
      <c r="A178" s="3">
        <v>42627</v>
      </c>
      <c r="B178" t="s">
        <v>49</v>
      </c>
      <c r="C178" s="2">
        <v>0.01648791962950465</v>
      </c>
      <c r="D178" s="2">
        <v>0.008428955682104172</v>
      </c>
      <c r="E178" s="2">
        <v>2.383323847467274E-05</v>
      </c>
      <c r="F178" s="2">
        <f>Inputs!$E$2*C178+Inputs!$F$2*D178</f>
        <v>0.0182477091128664</v>
      </c>
      <c r="G178" s="2">
        <f>Inputs!$E$3*C178+Inputs!$F$3*D178</f>
        <v>0.0051683709296732995</v>
      </c>
      <c r="H178" s="2">
        <f>F178^2</f>
        <v>0.0003329788878677875</v>
      </c>
      <c r="I178" s="2">
        <f>G178^2</f>
        <v>2.6712058066692047e-05</v>
      </c>
      <c r="J178" s="2">
        <f>LN(1+F178+E178)</f>
        <v>0.018106623572377394</v>
      </c>
      <c r="K178" s="2">
        <f>LN(1+G178+E178)</f>
        <v>0.005178771153991063</v>
      </c>
      <c r="L178" s="2">
        <f>LN(1+E178)</f>
        <v>2.3832954467875065e-05</v>
      </c>
      <c r="M178" s="2">
        <f>LN(1+C178+E178)</f>
        <v>0.016376916112861954</v>
      </c>
      <c r="N178" s="2">
        <f>LN(1+D178+E178)</f>
        <v>0.008417264148861606</v>
      </c>
      <c r="O178" s="2">
        <f>LN(1+C178+E178+Inputs!$B$7/Inputs!$B$9)</f>
        <v>0.01638667555389432</v>
      </c>
      <c r="P178" s="2">
        <f>LN(1+D178+E178+Inputs!$B$8/Inputs!$B$9)</f>
        <v>0.008417264148861606</v>
      </c>
      <c r="Q178" s="2">
        <f>LN(1+E178+Inputs!$B$6/Inputs!$B$9)</f>
        <v>4.367355461275694e-05</v>
      </c>
    </row>
    <row r="179" spans="1:17">
      <c r="A179" s="3">
        <v>42628</v>
      </c>
      <c r="B179" t="s">
        <v>49</v>
      </c>
      <c r="C179" s="2">
        <v>0.005251187610082766</v>
      </c>
      <c r="D179" s="2">
        <v>0.002854176311429904</v>
      </c>
      <c r="E179" s="2">
        <v>2.39122873585025E-05</v>
      </c>
      <c r="F179" s="2">
        <f>Inputs!$E$2*C179+Inputs!$F$2*D179</f>
        <v>0.0059134558749244</v>
      </c>
      <c r="G179" s="2">
        <f>Inputs!$E$3*C179+Inputs!$F$3*D179</f>
        <v>0.0018496552906911</v>
      </c>
      <c r="H179" s="2">
        <f>F179^2</f>
        <v>3.49689603846779e-05</v>
      </c>
      <c r="I179" s="2">
        <f>G179^2</f>
        <v>3.4212246943815777e-06</v>
      </c>
      <c r="J179" s="2">
        <f>LN(1+F179+E179)</f>
        <v>0.005919811451431148</v>
      </c>
      <c r="K179" s="2">
        <f>LN(1+G179+E179)</f>
        <v>0.0018718146394731173</v>
      </c>
      <c r="L179" s="2">
        <f>LN(1+E179)</f>
        <v>2.3912001464909995e-05</v>
      </c>
      <c r="M179" s="2">
        <f>LN(1+C179+E179)</f>
        <v>0.005261235294714076</v>
      </c>
      <c r="N179" s="2">
        <f>LN(1+D179+E179)</f>
        <v>0.002873954831464231</v>
      </c>
      <c r="O179" s="2">
        <f>LN(1+C179+E179+Inputs!$B$7/Inputs!$B$9)</f>
        <v>0.005271103823210133</v>
      </c>
      <c r="P179" s="2">
        <f>LN(1+D179+E179+Inputs!$B$8/Inputs!$B$9)</f>
        <v>0.002873954831464231</v>
      </c>
      <c r="Q179" s="2">
        <f>LN(1+E179+Inputs!$B$6/Inputs!$B$9)</f>
        <v>4.375260004146763e-05</v>
      </c>
    </row>
    <row r="180" spans="1:17">
      <c r="A180" s="3">
        <v>42629</v>
      </c>
      <c r="B180" t="s">
        <v>49</v>
      </c>
      <c r="C180" s="2">
        <v>0.004345368056181076</v>
      </c>
      <c r="D180" s="2">
        <v>0.02270445275489226</v>
      </c>
      <c r="E180" s="2">
        <v>2.399133624233226E-05</v>
      </c>
      <c r="F180" s="2">
        <f>Inputs!$E$2*C180+Inputs!$F$2*D180</f>
        <v>0.01709896609788</v>
      </c>
      <c r="G180" s="2">
        <f>Inputs!$E$3*C180+Inputs!$F$3*D180</f>
        <v>0.0259417328890161</v>
      </c>
      <c r="H180" s="2">
        <f>F180^2</f>
        <v>0.00029237464161644956</v>
      </c>
      <c r="I180" s="2">
        <f>G180^2</f>
        <v>0.0006729735052850596</v>
      </c>
      <c r="J180" s="2">
        <f>LN(1+F180+E180)</f>
        <v>0.016978011856801672</v>
      </c>
      <c r="K180" s="2">
        <f>LN(1+G180+E180)</f>
        <v>0.025634339002687783</v>
      </c>
      <c r="L180" s="2">
        <f>LN(1+E180)</f>
        <v>2.39910484545863e-05</v>
      </c>
      <c r="M180" s="2">
        <f>LN(1+C180+E180)</f>
        <v>0.004359841456456667</v>
      </c>
      <c r="N180" s="2">
        <f>LN(1+D180+E180)</f>
        <v>0.02247400118495611</v>
      </c>
      <c r="O180" s="2">
        <f>LN(1+C180+E180+Inputs!$B$7/Inputs!$B$9)</f>
        <v>0.0043697188843499</v>
      </c>
      <c r="P180" s="2">
        <f>LN(1+D180+E180+Inputs!$B$8/Inputs!$B$9)</f>
        <v>0.02247400118495611</v>
      </c>
      <c r="Q180" s="2">
        <f>LN(1+E180+Inputs!$B$6/Inputs!$B$9)</f>
        <v>4.383164546281996e-05</v>
      </c>
    </row>
    <row r="181" spans="1:17">
      <c r="A181" s="3">
        <v>42632</v>
      </c>
      <c r="B181" t="s">
        <v>49</v>
      </c>
      <c r="C181" s="2">
        <v>0.00731578469010834</v>
      </c>
      <c r="D181" s="2">
        <v>0.002976024915422842</v>
      </c>
      <c r="E181" s="2">
        <v>2.407038512616202E-05</v>
      </c>
      <c r="F181" s="2">
        <f>Inputs!$E$2*C181+Inputs!$F$2*D181</f>
        <v>0.007638242701340199</v>
      </c>
      <c r="G181" s="2">
        <f>Inputs!$E$3*C181+Inputs!$F$3*D181</f>
        <v>0.0013764944914751998</v>
      </c>
      <c r="H181" s="2">
        <f>F181^2</f>
        <v>5.834275156457683e-05</v>
      </c>
      <c r="I181" s="2">
        <f>G181^2</f>
        <v>1.8947370850615687e-06</v>
      </c>
      <c r="J181" s="2">
        <f>LN(1+F181+E181)</f>
        <v>0.007633106663178946</v>
      </c>
      <c r="K181" s="2">
        <f>LN(1+G181+E181)</f>
        <v>0.0013995850004277308</v>
      </c>
      <c r="L181" s="2">
        <f>LN(1+E181)</f>
        <v>2.4070095438902334e-05</v>
      </c>
      <c r="M181" s="2">
        <f>LN(1+C181+E181)</f>
        <v>0.00731304942544504</v>
      </c>
      <c r="N181" s="2">
        <f>LN(1+D181+E181)</f>
        <v>0.0029956039952963574</v>
      </c>
      <c r="O181" s="2">
        <f>LN(1+C181+E181+Inputs!$B$7/Inputs!$B$9)</f>
        <v>0.007322897726413245</v>
      </c>
      <c r="P181" s="2">
        <f>LN(1+D181+E181+Inputs!$B$8/Inputs!$B$9)</f>
        <v>0.0029956039952963574</v>
      </c>
      <c r="Q181" s="2">
        <f>LN(1+E181+Inputs!$B$6/Inputs!$B$9)</f>
        <v>4.391069087881226e-05</v>
      </c>
    </row>
    <row r="182" spans="1:17">
      <c r="A182" s="3">
        <v>42633</v>
      </c>
      <c r="B182" t="s">
        <v>49</v>
      </c>
      <c r="C182" s="2">
        <v>0.008079013230244845</v>
      </c>
      <c r="D182" s="2">
        <v>-0.007905276898107841</v>
      </c>
      <c r="E182" s="2">
        <v>2.414943400999178E-05</v>
      </c>
      <c r="F182" s="2">
        <f>Inputs!$E$2*C182+Inputs!$F$2*D182</f>
        <v>0.0017200444453312003</v>
      </c>
      <c r="G182" s="2">
        <f>Inputs!$E$3*C182+Inputs!$F$3*D182</f>
        <v>-0.0119100362468031</v>
      </c>
      <c r="H182" s="2">
        <f>F182^2</f>
        <v>2.9585528939147164e-06</v>
      </c>
      <c r="I182" s="2">
        <f>G182^2</f>
        <v>0.00014184896340016366</v>
      </c>
      <c r="J182" s="2">
        <f>LN(1+F182+E182)</f>
        <v>0.001742674539622328</v>
      </c>
      <c r="K182" s="2">
        <f>LN(1+G182+E182)</f>
        <v>-0.01195708872645078</v>
      </c>
      <c r="L182" s="2">
        <f>LN(1+E182)</f>
        <v>2.4149142417191984e-05</v>
      </c>
      <c r="M182" s="2">
        <f>LN(1+C182+E182)</f>
        <v>0.00807050832534745</v>
      </c>
      <c r="N182" s="2">
        <f>LN(1+D182+E182)</f>
        <v>-0.007912347691062235</v>
      </c>
      <c r="O182" s="2">
        <f>LN(1+C182+E182+Inputs!$B$7/Inputs!$B$9)</f>
        <v>0.008080349169493616</v>
      </c>
      <c r="P182" s="2">
        <f>LN(1+D182+E182+Inputs!$B$8/Inputs!$B$9)</f>
        <v>-0.007912347691062235</v>
      </c>
      <c r="Q182" s="2">
        <f>LN(1+E182+Inputs!$B$6/Inputs!$B$9)</f>
        <v>4.398973628877841e-05</v>
      </c>
    </row>
    <row r="183" spans="1:17">
      <c r="A183" s="3">
        <v>42634</v>
      </c>
      <c r="B183" t="s">
        <v>49</v>
      </c>
      <c r="C183" s="2">
        <v>0.01238458452568107</v>
      </c>
      <c r="D183" s="2">
        <v>-0.01476455219144797</v>
      </c>
      <c r="E183" s="2">
        <v>2.422848289382154E-05</v>
      </c>
      <c r="F183" s="2">
        <f>Inputs!$E$2*C183+Inputs!$F$2*D183</f>
        <v>0.0010489363056760004</v>
      </c>
      <c r="G183" s="2">
        <f>Inputs!$E$3*C183+Inputs!$F$3*D183</f>
        <v>-0.0214328379874419</v>
      </c>
      <c r="H183" s="2">
        <f>F183^2</f>
        <v>1.1002673733652158e-06</v>
      </c>
      <c r="I183" s="2">
        <f>G183^2</f>
        <v>0.0004593665441959325</v>
      </c>
      <c r="J183" s="2">
        <f>LN(1+F183+E183)</f>
        <v>0.001072589358888741</v>
      </c>
      <c r="K183" s="2">
        <f>LN(1+G183+E183)</f>
        <v>-0.021641097942789726</v>
      </c>
      <c r="L183" s="2">
        <f>LN(1+E183)</f>
        <v>2.4228189389011173e-05</v>
      </c>
      <c r="M183" s="2">
        <f>LN(1+C183+E183)</f>
        <v>0.012332454716702535</v>
      </c>
      <c r="N183" s="2">
        <f>LN(1+D183+E183)</f>
        <v>-0.014850041801791716</v>
      </c>
      <c r="O183" s="2">
        <f>LN(1+C183+E183+Inputs!$B$7/Inputs!$B$9)</f>
        <v>0.01234225370915219</v>
      </c>
      <c r="P183" s="2">
        <f>LN(1+D183+E183+Inputs!$B$8/Inputs!$B$9)</f>
        <v>-0.014850041801791716</v>
      </c>
      <c r="Q183" s="2">
        <f>LN(1+E183+Inputs!$B$6/Inputs!$B$9)</f>
        <v>4.406878169227436e-05</v>
      </c>
    </row>
    <row r="184" spans="1:17">
      <c r="A184" s="3">
        <v>42635</v>
      </c>
      <c r="B184" t="s">
        <v>49</v>
      </c>
      <c r="C184" s="2">
        <v>0.01585816501884021</v>
      </c>
      <c r="D184" s="2">
        <v>0.01468337436428599</v>
      </c>
      <c r="E184" s="2">
        <v>2.43075317776513E-05</v>
      </c>
      <c r="F184" s="2">
        <f>Inputs!$E$2*C184+Inputs!$F$2*D184</f>
        <v>0.0214965566336436</v>
      </c>
      <c r="G184" s="2">
        <f>Inputs!$E$3*C184+Inputs!$F$3*D184</f>
        <v>0.0128625997314912</v>
      </c>
      <c r="H184" s="2">
        <f>F184^2</f>
        <v>0.00046210194710344664</v>
      </c>
      <c r="I184" s="2">
        <f>G184^2</f>
        <v>0.0001654464718525575</v>
      </c>
      <c r="J184" s="2">
        <f>LN(1+F184+E184)</f>
        <v>0.021292560094285633</v>
      </c>
      <c r="K184" s="2">
        <f>LN(1+G184+E184)</f>
        <v>0.012804577635632027</v>
      </c>
      <c r="L184" s="2">
        <f>LN(1+E184)</f>
        <v>2.4307236354803974e-05</v>
      </c>
      <c r="M184" s="2">
        <f>LN(1+C184+E184)</f>
        <v>0.015757665841826203</v>
      </c>
      <c r="N184" s="2">
        <f>LN(1+D184+E184)</f>
        <v>0.014600572882367893</v>
      </c>
      <c r="O184" s="2">
        <f>LN(1+C184+E184+Inputs!$B$7/Inputs!$B$9)</f>
        <v>0.015767431328237172</v>
      </c>
      <c r="P184" s="2">
        <f>LN(1+D184+E184+Inputs!$B$8/Inputs!$B$9)</f>
        <v>0.014600572882367893</v>
      </c>
      <c r="Q184" s="2">
        <f>LN(1+E184+Inputs!$B$6/Inputs!$B$9)</f>
        <v>4.4147827089744155e-05</v>
      </c>
    </row>
    <row r="185" spans="1:17">
      <c r="A185" s="3">
        <v>42636</v>
      </c>
      <c r="B185" t="s">
        <v>49</v>
      </c>
      <c r="C185" s="2">
        <v>-0.003136940614871142</v>
      </c>
      <c r="D185" s="2">
        <v>-0.00553040940267345</v>
      </c>
      <c r="E185" s="2">
        <v>2.438658066148106E-05</v>
      </c>
      <c r="F185" s="2">
        <f>Inputs!$E$2*C185+Inputs!$F$2*D185</f>
        <v>-0.0058277981335006</v>
      </c>
      <c r="G185" s="2">
        <f>Inputs!$E$3*C185+Inputs!$F$3*D185</f>
        <v>-0.0056954090987463004</v>
      </c>
      <c r="H185" s="2">
        <f>F185^2</f>
        <v>3.396323108483307e-05</v>
      </c>
      <c r="I185" s="2">
        <f>G185^2</f>
        <v>3.243768480208215e-05</v>
      </c>
      <c r="J185" s="2">
        <f>LN(1+F185+E185)</f>
        <v>-0.005820316782732604</v>
      </c>
      <c r="K185" s="2">
        <f>LN(1+G185+E185)</f>
        <v>-0.005687163820338512</v>
      </c>
      <c r="L185" s="2">
        <f>LN(1+E185)</f>
        <v>2.4386283313238158e-05</v>
      </c>
      <c r="M185" s="2">
        <f>LN(1+C185+E185)</f>
        <v>-0.00311740810550772</v>
      </c>
      <c r="N185" s="2">
        <f>LN(1+D185+E185)</f>
        <v>-0.005521236837179686</v>
      </c>
      <c r="O185" s="2">
        <f>LN(1+C185+E185+Inputs!$B$7/Inputs!$B$9)</f>
        <v>-0.0031074565451806257</v>
      </c>
      <c r="P185" s="2">
        <f>LN(1+D185+E185+Inputs!$B$8/Inputs!$B$9)</f>
        <v>-0.005521236837179686</v>
      </c>
      <c r="Q185" s="2">
        <f>LN(1+E185+Inputs!$B$6/Inputs!$B$9)</f>
        <v>4.422687247985561e-05</v>
      </c>
    </row>
    <row r="186" spans="1:17">
      <c r="A186" s="3">
        <v>42639</v>
      </c>
      <c r="B186" t="s">
        <v>49</v>
      </c>
      <c r="C186" s="2">
        <v>-0.0115175958020707</v>
      </c>
      <c r="D186" s="2">
        <v>-0.004330130964130746</v>
      </c>
      <c r="E186" s="2">
        <v>2.446562954531082E-05</v>
      </c>
      <c r="F186" s="2">
        <f>Inputs!$E$2*C186+Inputs!$F$2*D186</f>
        <v>-0.0118121552201354</v>
      </c>
      <c r="G186" s="2">
        <f>Inputs!$E$3*C186+Inputs!$F$3*D186</f>
        <v>-0.0017408784163358997</v>
      </c>
      <c r="H186" s="2">
        <f>F186^2</f>
        <v>0.00013952701094457198</v>
      </c>
      <c r="I186" s="2">
        <f>G186^2</f>
        <v>3.0306576604641904e-06</v>
      </c>
      <c r="J186" s="2">
        <f>LN(1+F186+E186)</f>
        <v>-0.011857715241270302</v>
      </c>
      <c r="K186" s="2">
        <f>LN(1+G186+E186)</f>
        <v>-0.0017178875109501</v>
      </c>
      <c r="L186" s="2">
        <f>LN(1+E186)</f>
        <v>2.4465330266312078e-05</v>
      </c>
      <c r="M186" s="2">
        <f>LN(1+C186+E186)</f>
        <v>-0.011559686646020582</v>
      </c>
      <c r="N186" s="2">
        <f>LN(1+D186+E186)</f>
        <v>-0.004314961405014641</v>
      </c>
      <c r="O186" s="2">
        <f>LN(1+C186+E186+Inputs!$B$7/Inputs!$B$9)</f>
        <v>-0.011549650716638434</v>
      </c>
      <c r="P186" s="2">
        <f>LN(1+D186+E186+Inputs!$B$8/Inputs!$B$9)</f>
        <v>-0.004314961405014641</v>
      </c>
      <c r="Q186" s="2">
        <f>LN(1+E186+Inputs!$B$6/Inputs!$B$9)</f>
        <v>4.430591786460703e-05</v>
      </c>
    </row>
    <row r="187" spans="1:17">
      <c r="A187" s="3">
        <v>42640</v>
      </c>
      <c r="B187" t="s">
        <v>49</v>
      </c>
      <c r="C187" s="2">
        <v>-0.02550099597274506</v>
      </c>
      <c r="D187" s="2">
        <v>-0.00855923840429375</v>
      </c>
      <c r="E187" s="2">
        <v>2.454467842914058E-05</v>
      </c>
      <c r="F187" s="2">
        <f>Inputs!$E$2*C187+Inputs!$F$2*D187</f>
        <v>-0.025536339820772403</v>
      </c>
      <c r="G187" s="2">
        <f>Inputs!$E$3*C187+Inputs!$F$3*D187</f>
        <v>-0.0026207872933292986</v>
      </c>
      <c r="H187" s="2">
        <f>F187^2</f>
        <v>0.0006521046514419664</v>
      </c>
      <c r="I187" s="2">
        <f>G187^2</f>
        <v>6.868526036876311e-06</v>
      </c>
      <c r="J187" s="2">
        <f>LN(1+F187+E187)</f>
        <v>-0.025842863896734885</v>
      </c>
      <c r="K187" s="2">
        <f>LN(1+G187+E187)</f>
        <v>-0.002599618697443503</v>
      </c>
      <c r="L187" s="2">
        <f>LN(1+E187)</f>
        <v>2.454437721335962e-05</v>
      </c>
      <c r="M187" s="2">
        <f>LN(1+C187+E187)</f>
        <v>-0.025806595415576016</v>
      </c>
      <c r="N187" s="2">
        <f>LN(1+D187+E187)</f>
        <v>-0.008571322785136368</v>
      </c>
      <c r="O187" s="2">
        <f>LN(1+C187+E187+Inputs!$B$7/Inputs!$B$9)</f>
        <v>-0.025796415482583906</v>
      </c>
      <c r="P187" s="2">
        <f>LN(1+D187+E187+Inputs!$B$8/Inputs!$B$9)</f>
        <v>-0.008571322785136368</v>
      </c>
      <c r="Q187" s="2">
        <f>LN(1+E187+Inputs!$B$6/Inputs!$B$9)</f>
        <v>4.438496324333231e-05</v>
      </c>
    </row>
    <row r="188" spans="1:17">
      <c r="A188" s="3">
        <v>42641</v>
      </c>
      <c r="B188" t="s">
        <v>49</v>
      </c>
      <c r="C188" s="2">
        <v>-0.004323319583156608</v>
      </c>
      <c r="D188" s="2">
        <v>-0.008404317772624771</v>
      </c>
      <c r="E188" s="2">
        <v>2.462372731297034E-05</v>
      </c>
      <c r="F188" s="2">
        <f>Inputs!$E$2*C188+Inputs!$F$2*D188</f>
        <v>-0.0085012463301006</v>
      </c>
      <c r="G188" s="2">
        <f>Inputs!$E$3*C188+Inputs!$F$3*D188</f>
        <v>-0.0087881854522029</v>
      </c>
      <c r="H188" s="2">
        <f>F188^2</f>
        <v>7.227118916504893e-05</v>
      </c>
      <c r="I188" s="2">
        <f>G188^2</f>
        <v>7.72322035423107e-05</v>
      </c>
      <c r="J188" s="2">
        <f>LN(1+F188+E188)</f>
        <v>-0.008512753491653155</v>
      </c>
      <c r="K188" s="2">
        <f>LN(1+G188+E188)</f>
        <v>-0.008802187564138775</v>
      </c>
      <c r="L188" s="2">
        <f>LN(1+E188)</f>
        <v>2.46234241539367e-05</v>
      </c>
      <c r="M188" s="2">
        <f>LN(1+C188+E188)</f>
        <v>-0.0043079618127625265</v>
      </c>
      <c r="N188" s="2">
        <f>LN(1+D188+E188)</f>
        <v>-0.008415001061139368</v>
      </c>
      <c r="O188" s="2">
        <f>LN(1+C188+E188+Inputs!$B$7/Inputs!$B$9)</f>
        <v>-0.0042979983975718885</v>
      </c>
      <c r="P188" s="2">
        <f>LN(1+D188+E188+Inputs!$B$8/Inputs!$B$9)</f>
        <v>-0.008415001061139368</v>
      </c>
      <c r="Q188" s="2">
        <f>LN(1+E188+Inputs!$B$6/Inputs!$B$9)</f>
        <v>4.446400861558739e-05</v>
      </c>
    </row>
    <row r="189" spans="1:17">
      <c r="A189" s="3">
        <v>42642</v>
      </c>
      <c r="B189" t="s">
        <v>49</v>
      </c>
      <c r="C189" s="2">
        <v>0.008879744536181577</v>
      </c>
      <c r="D189" s="2">
        <v>-0.003896327940947287</v>
      </c>
      <c r="E189" s="2">
        <v>2.47027761968001E-05</v>
      </c>
      <c r="F189" s="2">
        <f>Inputs!$E$2*C189+Inputs!$F$2*D189</f>
        <v>0.0047659988643774</v>
      </c>
      <c r="G189" s="2">
        <f>Inputs!$E$3*C189+Inputs!$F$3*D189</f>
        <v>-0.007339516889991</v>
      </c>
      <c r="H189" s="2">
        <f>F189^2</f>
        <v>2.2714745175246666e-05</v>
      </c>
      <c r="I189" s="2">
        <f>G189^2</f>
        <v>5.3868508178463164e-05</v>
      </c>
      <c r="J189" s="2">
        <f>LN(1+F189+E189)</f>
        <v>0.0047792627484680395</v>
      </c>
      <c r="K189" s="2">
        <f>LN(1+G189+E189)</f>
        <v>-0.00734169854988485</v>
      </c>
      <c r="L189" s="2">
        <f>LN(1+E189)</f>
        <v>2.47024710884874e-05</v>
      </c>
      <c r="M189" s="2">
        <f>LN(1+C189+E189)</f>
        <v>0.008865036502943818</v>
      </c>
      <c r="N189" s="2">
        <f>LN(1+D189+E189)</f>
        <v>-0.0038791393063549212</v>
      </c>
      <c r="O189" s="2">
        <f>LN(1+C189+E189+Inputs!$B$7/Inputs!$B$9)</f>
        <v>0.008874869531405764</v>
      </c>
      <c r="P189" s="2">
        <f>LN(1+D189+E189+Inputs!$B$8/Inputs!$B$9)</f>
        <v>-0.0038791393063549212</v>
      </c>
      <c r="Q189" s="2">
        <f>LN(1+E189+Inputs!$B$6/Inputs!$B$9)</f>
        <v>4.454305398181633e-05</v>
      </c>
    </row>
    <row r="190" spans="1:17">
      <c r="A190" s="3">
        <v>42643</v>
      </c>
      <c r="B190" t="s">
        <v>49</v>
      </c>
      <c r="C190" s="2">
        <v>0.004465560426370879</v>
      </c>
      <c r="D190" s="2">
        <v>0.004018689019072231</v>
      </c>
      <c r="E190" s="2">
        <v>2.478182508062986E-05</v>
      </c>
      <c r="F190" s="2">
        <f>Inputs!$E$2*C190+Inputs!$F$2*D190</f>
        <v>0.00598366175254</v>
      </c>
      <c r="G190" s="2">
        <f>Inputs!$E$3*C190+Inputs!$F$3*D190</f>
        <v>0.0034827586949751</v>
      </c>
      <c r="H190" s="2">
        <f>F190^2</f>
        <v>3.5804207968810065e-05</v>
      </c>
      <c r="I190" s="2">
        <f>G190^2</f>
        <v>1.212960812742466e-05</v>
      </c>
      <c r="J190" s="2">
        <f>LN(1+F190+E190)</f>
        <v>0.005990464860635608</v>
      </c>
      <c r="K190" s="2">
        <f>LN(1+G190+E190)</f>
        <v>0.0035014034463091447</v>
      </c>
      <c r="L190" s="2">
        <f>LN(1+E190)</f>
        <v>2.4781518016567645e-05</v>
      </c>
      <c r="M190" s="2">
        <f>LN(1+C190+E190)</f>
        <v>0.00448029074325974</v>
      </c>
      <c r="N190" s="2">
        <f>LN(1+D190+E190)</f>
        <v>0.004035317985759971</v>
      </c>
      <c r="O190" s="2">
        <f>LN(1+C190+E190+Inputs!$B$7/Inputs!$B$9)</f>
        <v>0.00449016698150135</v>
      </c>
      <c r="P190" s="2">
        <f>LN(1+D190+E190+Inputs!$B$8/Inputs!$B$9)</f>
        <v>0.004035317985759971</v>
      </c>
      <c r="Q190" s="2">
        <f>LN(1+E190+Inputs!$B$6/Inputs!$B$9)</f>
        <v>4.462209934157506e-05</v>
      </c>
    </row>
    <row r="191" spans="1:17">
      <c r="A191" s="3">
        <v>42646</v>
      </c>
      <c r="B191" t="s">
        <v>50</v>
      </c>
      <c r="C191" s="2">
        <v>0.00148038234776829</v>
      </c>
      <c r="D191" s="2">
        <v>0.004678862015600362</v>
      </c>
      <c r="E191" s="2">
        <v>2.486087396445962E-05</v>
      </c>
      <c r="F191" s="2">
        <f>Inputs!$E$2*C191+Inputs!$F$2*D191</f>
        <v>0.0039916230875744006</v>
      </c>
      <c r="G191" s="2">
        <f>Inputs!$E$3*C191+Inputs!$F$3*D191</f>
        <v>0.0051705197143896</v>
      </c>
      <c r="H191" s="2">
        <f>F191^2</f>
        <v>1.593305487325699e-05</v>
      </c>
      <c r="I191" s="2">
        <f>G191^2</f>
        <v>2.6734274116891507e-05</v>
      </c>
      <c r="J191" s="2">
        <f>LN(1+F191+E191)</f>
        <v>0.004008439423143712</v>
      </c>
      <c r="K191" s="2">
        <f>LN(1+G191+E191)</f>
        <v>0.005181931161772046</v>
      </c>
      <c r="L191" s="2">
        <f>LN(1+E191)</f>
        <v>2.4860564937511318e-05</v>
      </c>
      <c r="M191" s="2">
        <f>LN(1+C191+E191)</f>
        <v>0.0015041114787103342</v>
      </c>
      <c r="N191" s="2">
        <f>LN(1+D191+E191)</f>
        <v>0.004692694953103147</v>
      </c>
      <c r="O191" s="2">
        <f>LN(1+C191+E191+Inputs!$B$7/Inputs!$B$9)</f>
        <v>0.0015140171540451348</v>
      </c>
      <c r="P191" s="2">
        <f>LN(1+D191+E191+Inputs!$B$8/Inputs!$B$9)</f>
        <v>0.004692694953103147</v>
      </c>
      <c r="Q191" s="2">
        <f>LN(1+E191+Inputs!$B$6/Inputs!$B$9)</f>
        <v>4.470114469419749e-05</v>
      </c>
    </row>
    <row r="192" spans="1:17">
      <c r="A192" s="3">
        <v>42647</v>
      </c>
      <c r="B192" t="s">
        <v>50</v>
      </c>
      <c r="C192" s="2">
        <v>-0.003388730186423958</v>
      </c>
      <c r="D192" s="2">
        <v>0.002864231304597138</v>
      </c>
      <c r="E192" s="2">
        <v>2.493992284828938E-05</v>
      </c>
      <c r="F192" s="2">
        <f>Inputs!$E$2*C192+Inputs!$F$2*D192</f>
        <v>-0.0009924453663810002</v>
      </c>
      <c r="G192" s="2">
        <f>Inputs!$E$3*C192+Inputs!$F$3*D192</f>
        <v>0.0044536966214436</v>
      </c>
      <c r="H192" s="2">
        <f>F192^2</f>
        <v>9.849478052511177e-07</v>
      </c>
      <c r="I192" s="2">
        <f>G192^2</f>
        <v>1.9835413595858136e-05</v>
      </c>
      <c r="J192" s="2">
        <f>LN(1+F192+E192)</f>
        <v>-0.0009679737790270617</v>
      </c>
      <c r="K192" s="2">
        <f>LN(1+G192+E192)</f>
        <v>0.004468637295860669</v>
      </c>
      <c r="L192" s="2">
        <f>LN(1+E192)</f>
        <v>2.4939611853316767e-05</v>
      </c>
      <c r="M192" s="2">
        <f>LN(1+C192+E192)</f>
        <v>-0.003369460525329703</v>
      </c>
      <c r="N192" s="2">
        <f>LN(1+D192+E192)</f>
        <v>0.0028850055938113776</v>
      </c>
      <c r="O192" s="2">
        <f>LN(1+C192+E192+Inputs!$B$7/Inputs!$B$9)</f>
        <v>-0.0033595064563840924</v>
      </c>
      <c r="P192" s="2">
        <f>LN(1+D192+E192+Inputs!$B$8/Inputs!$B$9)</f>
        <v>0.0028850055938113776</v>
      </c>
      <c r="Q192" s="2">
        <f>LN(1+E192+Inputs!$B$6/Inputs!$B$9)</f>
        <v>4.478019004168193e-05</v>
      </c>
    </row>
    <row r="193" spans="1:17">
      <c r="A193" s="3">
        <v>42648</v>
      </c>
      <c r="B193" t="s">
        <v>50</v>
      </c>
      <c r="C193" s="2">
        <v>-0.006159999538370848</v>
      </c>
      <c r="D193" s="2">
        <v>0.0078281754070035</v>
      </c>
      <c r="E193" s="2">
        <v>2.501897173211914E-05</v>
      </c>
      <c r="F193" s="2">
        <f>Inputs!$E$2*C193+Inputs!$F$2*D193</f>
        <v>-0.00023109438649440012</v>
      </c>
      <c r="G193" s="2">
        <f>Inputs!$E$3*C193+Inputs!$F$3*D193</f>
        <v>0.0112418103499161</v>
      </c>
      <c r="H193" s="2">
        <f>F193^2</f>
        <v>5.340461546922318e-08</v>
      </c>
      <c r="I193" s="2">
        <f>G193^2</f>
        <v>0.00012637829994348074</v>
      </c>
      <c r="J193" s="2">
        <f>LN(1+F193+E193)</f>
        <v>-0.00020609665121823918</v>
      </c>
      <c r="K193" s="2">
        <f>LN(1+G193+E193)</f>
        <v>0.011203831350131229</v>
      </c>
      <c r="L193" s="2">
        <f>LN(1+E193)</f>
        <v>2.501865876265177e-05</v>
      </c>
      <c r="M193" s="2">
        <f>LN(1+C193+E193)</f>
        <v>-0.006153876885255805</v>
      </c>
      <c r="N193" s="2">
        <f>LN(1+D193+E193)</f>
        <v>0.007822518545283973</v>
      </c>
      <c r="O193" s="2">
        <f>LN(1+C193+E193+Inputs!$B$7/Inputs!$B$9)</f>
        <v>-0.006143895061553637</v>
      </c>
      <c r="P193" s="2">
        <f>LN(1+D193+E193+Inputs!$B$8/Inputs!$B$9)</f>
        <v>0.007822518545283973</v>
      </c>
      <c r="Q193" s="2">
        <f>LN(1+E193+Inputs!$B$6/Inputs!$B$9)</f>
        <v>4.485923538269616e-05</v>
      </c>
    </row>
    <row r="194" spans="1:17">
      <c r="A194" s="3">
        <v>42649</v>
      </c>
      <c r="B194" t="s">
        <v>50</v>
      </c>
      <c r="C194" s="2">
        <v>-0.002534210696137859</v>
      </c>
      <c r="D194" s="2">
        <v>-0.004157268324242106</v>
      </c>
      <c r="E194" s="2">
        <v>2.509802061594891E-05</v>
      </c>
      <c r="F194" s="2">
        <f>Inputs!$E$2*C194+Inputs!$F$2*D194</f>
        <v>-0.0045217295514556</v>
      </c>
      <c r="G194" s="2">
        <f>Inputs!$E$3*C194+Inputs!$F$3*D194</f>
        <v>-0.004228458780249</v>
      </c>
      <c r="H194" s="2">
        <f>F194^2</f>
        <v>2.0446038136506865e-05</v>
      </c>
      <c r="I194" s="2">
        <f>G194^2</f>
        <v>1.787986365626486e-05</v>
      </c>
      <c r="J194" s="2">
        <f>LN(1+F194+E194)</f>
        <v>-0.004506771787819263</v>
      </c>
      <c r="K194" s="2">
        <f>LN(1+G194+E194)</f>
        <v>-0.004212219714107118</v>
      </c>
      <c r="L194" s="2">
        <f>LN(1+E194)</f>
        <v>2.5097705665960392e-05</v>
      </c>
      <c r="M194" s="2">
        <f>LN(1+C194+E194)</f>
        <v>-0.002512265774155372</v>
      </c>
      <c r="N194" s="2">
        <f>LN(1+D194+E194)</f>
        <v>-0.0041407313111681094</v>
      </c>
      <c r="O194" s="2">
        <f>LN(1+C194+E194+Inputs!$B$7/Inputs!$B$9)</f>
        <v>-0.0025023202340870077</v>
      </c>
      <c r="P194" s="2">
        <f>LN(1+D194+E194+Inputs!$B$8/Inputs!$B$9)</f>
        <v>-0.0041407313111681094</v>
      </c>
      <c r="Q194" s="2">
        <f>LN(1+E194+Inputs!$B$6/Inputs!$B$9)</f>
        <v>4.493828071768426e-05</v>
      </c>
    </row>
    <row r="195" spans="1:17">
      <c r="A195" s="3">
        <v>42650</v>
      </c>
      <c r="B195" t="s">
        <v>50</v>
      </c>
      <c r="C195" s="2">
        <v>0.003903837121849196</v>
      </c>
      <c r="D195" s="2">
        <v>-0.008312209423159219</v>
      </c>
      <c r="E195" s="2">
        <v>2.517706949977867E-05</v>
      </c>
      <c r="F195" s="2">
        <f>Inputs!$E$2*C195+Inputs!$F$2*D195</f>
        <v>-0.0018642559564161993</v>
      </c>
      <c r="G195" s="2">
        <f>Inputs!$E$3*C195+Inputs!$F$3*D195</f>
        <v>-0.0111458024443455</v>
      </c>
      <c r="H195" s="2">
        <f>F195^2</f>
        <v>3.475450271033278e-06</v>
      </c>
      <c r="I195" s="2">
        <f>G195^2</f>
        <v>0.0001242289121283781</v>
      </c>
      <c r="J195" s="2">
        <f>LN(1+F195+E195)</f>
        <v>-0.001840772068740722</v>
      </c>
      <c r="K195" s="2">
        <f>LN(1+G195+E195)</f>
        <v>-0.011182921809983024</v>
      </c>
      <c r="L195" s="2">
        <f>LN(1+E195)</f>
        <v>2.5176752562798565e-05</v>
      </c>
      <c r="M195" s="2">
        <f>LN(1+C195+E195)</f>
        <v>0.003921315773298258</v>
      </c>
      <c r="N195" s="2">
        <f>LN(1+D195+E195)</f>
        <v>-0.008321560696926574</v>
      </c>
      <c r="O195" s="2">
        <f>LN(1+C195+E195+Inputs!$B$7/Inputs!$B$9)</f>
        <v>0.0039311975336257755</v>
      </c>
      <c r="P195" s="2">
        <f>LN(1+D195+E195+Inputs!$B$8/Inputs!$B$9)</f>
        <v>-0.008321560696926574</v>
      </c>
      <c r="Q195" s="2">
        <f>LN(1+E195+Inputs!$B$6/Inputs!$B$9)</f>
        <v>4.501732604620217e-05</v>
      </c>
    </row>
    <row r="196" spans="1:17">
      <c r="A196" s="3">
        <v>42653</v>
      </c>
      <c r="B196" t="s">
        <v>50</v>
      </c>
      <c r="C196" s="2">
        <v>-0.01585574783656967</v>
      </c>
      <c r="D196" s="2">
        <v>-0.0004573695357900402</v>
      </c>
      <c r="E196" s="2">
        <v>2.525611838360842E-05</v>
      </c>
      <c r="F196" s="2">
        <f>Inputs!$E$2*C196+Inputs!$F$2*D196</f>
        <v>-0.012959019990730002</v>
      </c>
      <c r="G196" s="2">
        <f>Inputs!$E$3*C196+Inputs!$F$3*D196</f>
        <v>0.004207880908023</v>
      </c>
      <c r="H196" s="2">
        <f>F196^2</f>
        <v>0.00016793619912013982</v>
      </c>
      <c r="I196" s="2">
        <f>G196^2</f>
        <v>1.770626173610447e-05</v>
      </c>
      <c r="J196" s="2">
        <f>LN(1+F196+E196)</f>
        <v>-0.013018133261676192</v>
      </c>
      <c r="K196" s="2">
        <f>LN(1+G196+E196)</f>
        <v>0.004224202507020248</v>
      </c>
      <c r="L196" s="2">
        <f>LN(1+E196)</f>
        <v>2.5255799453610365e-05</v>
      </c>
      <c r="M196" s="2">
        <f>LN(1+C196+E196)</f>
        <v>-0.0159571322516726</v>
      </c>
      <c r="N196" s="2">
        <f>LN(1+D196+E196)</f>
        <v>-0.0004322068053125088</v>
      </c>
      <c r="O196" s="2">
        <f>LN(1+C196+E196+Inputs!$B$7/Inputs!$B$9)</f>
        <v>-0.01594705209288239</v>
      </c>
      <c r="P196" s="2">
        <f>LN(1+D196+E196+Inputs!$B$8/Inputs!$B$9)</f>
        <v>-0.0004322068053125088</v>
      </c>
      <c r="Q196" s="2">
        <f>LN(1+E196+Inputs!$B$6/Inputs!$B$9)</f>
        <v>4.5096371368693945e-05</v>
      </c>
    </row>
    <row r="197" spans="1:17">
      <c r="A197" s="3">
        <v>42654</v>
      </c>
      <c r="B197" t="s">
        <v>50</v>
      </c>
      <c r="C197" s="2">
        <v>0.007443045448517649</v>
      </c>
      <c r="D197" s="2">
        <v>-0.0160088599487849</v>
      </c>
      <c r="E197" s="2">
        <v>2.533516726743819E-05</v>
      </c>
      <c r="F197" s="2">
        <f>Inputs!$E$2*C197+Inputs!$F$2*D197</f>
        <v>-0.0036508796104565977</v>
      </c>
      <c r="G197" s="2">
        <f>Inputs!$E$3*C197+Inputs!$F$3*D197</f>
        <v>-0.021443545573097397</v>
      </c>
      <c r="H197" s="2">
        <f>F197^2</f>
        <v>1.3328921930047719e-05</v>
      </c>
      <c r="I197" s="2">
        <f>G197^2</f>
        <v>0.000459825646745505</v>
      </c>
      <c r="J197" s="2">
        <f>LN(1+F197+E197)</f>
        <v>-0.003632132658175621</v>
      </c>
      <c r="K197" s="2">
        <f>LN(1+G197+E197)</f>
        <v>-0.021650908930780144</v>
      </c>
      <c r="L197" s="2">
        <f>LN(1+E197)</f>
        <v>2.533484633706356e-05</v>
      </c>
      <c r="M197" s="2">
        <f>LN(1+C197+E197)</f>
        <v>0.007440630342029129</v>
      </c>
      <c r="N197" s="2">
        <f>LN(1+D197+E197)</f>
        <v>-0.016112638961834475</v>
      </c>
      <c r="O197" s="2">
        <f>LN(1+C197+E197+Inputs!$B$7/Inputs!$B$9)</f>
        <v>0.0074504773866284025</v>
      </c>
      <c r="P197" s="2">
        <f>LN(1+D197+E197+Inputs!$B$8/Inputs!$B$9)</f>
        <v>-0.016112638961834475</v>
      </c>
      <c r="Q197" s="2">
        <f>LN(1+E197+Inputs!$B$6/Inputs!$B$9)</f>
        <v>4.517541668382738e-05</v>
      </c>
    </row>
    <row r="198" spans="1:17">
      <c r="A198" s="3">
        <v>42655</v>
      </c>
      <c r="B198" t="s">
        <v>50</v>
      </c>
      <c r="C198" s="2">
        <v>-0.01392824051555453</v>
      </c>
      <c r="D198" s="2">
        <v>0.00750686547702105</v>
      </c>
      <c r="E198" s="2">
        <v>2.541421615126794E-05</v>
      </c>
      <c r="F198" s="2">
        <f>Inputs!$E$2*C198+Inputs!$F$2*D198</f>
        <v>-0.006638473126231401</v>
      </c>
      <c r="G198" s="2">
        <f>Inputs!$E$3*C198+Inputs!$F$3*D198</f>
        <v>0.0131867107270917</v>
      </c>
      <c r="H198" s="2">
        <f>F198^2</f>
        <v>4.406932544769651e-05</v>
      </c>
      <c r="I198" s="2">
        <f>G198^2</f>
        <v>0.0001738893397999953</v>
      </c>
      <c r="J198" s="2">
        <f>LN(1+F198+E198)</f>
        <v>-0.006635022066804459</v>
      </c>
      <c r="K198" s="2">
        <f>LN(1+G198+E198)</f>
        <v>0.01312560605289788</v>
      </c>
      <c r="L198" s="2">
        <f>LN(1+E198)</f>
        <v>2.5413893215378542e-05</v>
      </c>
      <c r="M198" s="2">
        <f>LN(1+C198+E198)</f>
        <v>-0.014000375786693381</v>
      </c>
      <c r="N198" s="2">
        <f>LN(1+D198+E198)</f>
        <v>0.0075040537231398355</v>
      </c>
      <c r="O198" s="2">
        <f>LN(1+C198+E198+Inputs!$B$7/Inputs!$B$9)</f>
        <v>-0.013990315332934572</v>
      </c>
      <c r="P198" s="2">
        <f>LN(1+D198+E198+Inputs!$B$8/Inputs!$B$9)</f>
        <v>0.0075040537231398355</v>
      </c>
      <c r="Q198" s="2">
        <f>LN(1+E198+Inputs!$B$6/Inputs!$B$9)</f>
        <v>4.5254461993822834e-05</v>
      </c>
    </row>
    <row r="199" spans="1:17">
      <c r="A199" s="3">
        <v>42656</v>
      </c>
      <c r="B199" t="s">
        <v>50</v>
      </c>
      <c r="C199" s="2">
        <v>-0.001369498923638042</v>
      </c>
      <c r="D199" s="2">
        <v>0.004482716757461602</v>
      </c>
      <c r="E199" s="2">
        <v>2.54932650350977E-05</v>
      </c>
      <c r="F199" s="2">
        <f>Inputs!$E$2*C199+Inputs!$F$2*D199</f>
        <v>0.0015940309155667996</v>
      </c>
      <c r="G199" s="2">
        <f>Inputs!$E$3*C199+Inputs!$F$3*D199</f>
        <v>0.0057901097860457995</v>
      </c>
      <c r="H199" s="2">
        <f>F199^2</f>
        <v>2.5409345597827294e-06</v>
      </c>
      <c r="I199" s="2">
        <f>G199^2</f>
        <v>3.3525371334463336e-05</v>
      </c>
      <c r="J199" s="2">
        <f>LN(1+F199+E199)</f>
        <v>0.0016182141655260779</v>
      </c>
      <c r="K199" s="2">
        <f>LN(1+G199+E199)</f>
        <v>0.005798757710645162</v>
      </c>
      <c r="L199" s="2">
        <f>LN(1+E199)</f>
        <v>2.5492940087223073e-05</v>
      </c>
      <c r="M199" s="2">
        <f>LN(1+C199+E199)</f>
        <v>-0.0013449096442735746</v>
      </c>
      <c r="N199" s="2">
        <f>LN(1+D199+E199)</f>
        <v>0.004498078482355124</v>
      </c>
      <c r="O199" s="2">
        <f>LN(1+C199+E199+Inputs!$B$7/Inputs!$B$9)</f>
        <v>-0.0013349757073608827</v>
      </c>
      <c r="P199" s="2">
        <f>LN(1+D199+E199+Inputs!$B$8/Inputs!$B$9)</f>
        <v>0.004498078482355124</v>
      </c>
      <c r="Q199" s="2">
        <f>LN(1+E199+Inputs!$B$6/Inputs!$B$9)</f>
        <v>4.533350729734809e-05</v>
      </c>
    </row>
    <row r="200" spans="1:17">
      <c r="A200" s="3">
        <v>42657</v>
      </c>
      <c r="B200" t="s">
        <v>50</v>
      </c>
      <c r="C200" s="2">
        <v>-0.00595945911081759</v>
      </c>
      <c r="D200" s="2">
        <v>0.004533701776143843</v>
      </c>
      <c r="E200" s="2">
        <v>2.557231391892747E-05</v>
      </c>
      <c r="F200" s="2">
        <f>Inputs!$E$2*C200+Inputs!$F$2*D200</f>
        <v>-0.002047346222968</v>
      </c>
      <c r="G200" s="2">
        <f>Inputs!$E$3*C200+Inputs!$F$3*D200</f>
        <v>0.0072282798646182</v>
      </c>
      <c r="H200" s="2">
        <f>F200^2</f>
        <v>4.1916265567013365e-06</v>
      </c>
      <c r="I200" s="2">
        <f>G200^2</f>
        <v>5.22480298012449e-05</v>
      </c>
      <c r="J200" s="2">
        <f>LN(1+F200+E200)</f>
        <v>-0.002023820452816437</v>
      </c>
      <c r="K200" s="2">
        <f>LN(1+G200+E200)</f>
        <v>0.00722766953327197</v>
      </c>
      <c r="L200" s="2">
        <f>LN(1+E200)</f>
        <v>2.557198695304124e-05</v>
      </c>
      <c r="M200" s="2">
        <f>LN(1+C200+E200)</f>
        <v>-0.005951562260644841</v>
      </c>
      <c r="N200" s="2">
        <f>LN(1+D200+E200)</f>
        <v>0.004548912083496915</v>
      </c>
      <c r="O200" s="2">
        <f>LN(1+C200+E200+Inputs!$B$7/Inputs!$B$9)</f>
        <v>-0.005941582456197242</v>
      </c>
      <c r="P200" s="2">
        <f>LN(1+D200+E200+Inputs!$B$8/Inputs!$B$9)</f>
        <v>0.004548912083496915</v>
      </c>
      <c r="Q200" s="2">
        <f>LN(1+E200+Inputs!$B$6/Inputs!$B$9)</f>
        <v>4.541255259484722e-05</v>
      </c>
    </row>
    <row r="201" spans="1:17">
      <c r="A201" s="3">
        <v>42660</v>
      </c>
      <c r="B201" t="s">
        <v>50</v>
      </c>
      <c r="C201" s="2">
        <v>-0.003290350857859944</v>
      </c>
      <c r="D201" s="2">
        <v>-0.008723709464645011</v>
      </c>
      <c r="E201" s="2">
        <v>2.565136280275723E-05</v>
      </c>
      <c r="F201" s="2">
        <f>Inputs!$E$2*C201+Inputs!$F$2*D201</f>
        <v>-0.007866506365075</v>
      </c>
      <c r="G201" s="2">
        <f>Inputs!$E$3*C201+Inputs!$F$3*D201</f>
        <v>-0.009481346100215999</v>
      </c>
      <c r="H201" s="2">
        <f>F201^2</f>
        <v>6.188192239176549e-05</v>
      </c>
      <c r="I201" s="2">
        <f>G201^2</f>
        <v>8.989592387208112e-05</v>
      </c>
      <c r="J201" s="2">
        <f>LN(1+F201+E201)</f>
        <v>-0.007871756139398908</v>
      </c>
      <c r="K201" s="2">
        <f>LN(1+G201+E201)</f>
        <v>-0.009500683644414929</v>
      </c>
      <c r="L201" s="2">
        <f>LN(1+E201)</f>
        <v>2.5651033812388957e-05</v>
      </c>
      <c r="M201" s="2">
        <f>LN(1+C201+E201)</f>
        <v>-0.0032700402536026156</v>
      </c>
      <c r="N201" s="2">
        <f>LN(1+D201+E201)</f>
        <v>-0.008736107004259752</v>
      </c>
      <c r="O201" s="2">
        <f>LN(1+C201+E201+Inputs!$B$7/Inputs!$B$9)</f>
        <v>-0.0032600871742391267</v>
      </c>
      <c r="P201" s="2">
        <f>LN(1+D201+E201+Inputs!$B$8/Inputs!$B$9)</f>
        <v>-0.008736107004259752</v>
      </c>
      <c r="Q201" s="2">
        <f>LN(1+E201+Inputs!$B$6/Inputs!$B$9)</f>
        <v>4.549159788587616e-05</v>
      </c>
    </row>
    <row r="202" spans="1:17">
      <c r="A202" s="3">
        <v>42661</v>
      </c>
      <c r="B202" t="s">
        <v>50</v>
      </c>
      <c r="C202" s="2">
        <v>-0.009435928209883549</v>
      </c>
      <c r="D202" s="2">
        <v>-0.003953397245478531</v>
      </c>
      <c r="E202" s="2">
        <v>2.573041168658699E-05</v>
      </c>
      <c r="F202" s="2">
        <f>Inputs!$E$2*C202+Inputs!$F$2*D202</f>
        <v>-0.009920780915194601</v>
      </c>
      <c r="G202" s="2">
        <f>Inputs!$E$3*C202+Inputs!$F$3*D202</f>
        <v>-0.0019132982316095995</v>
      </c>
      <c r="H202" s="2">
        <f>F202^2</f>
        <v>9.842189396728943e-05</v>
      </c>
      <c r="I202" s="2">
        <f>G202^2</f>
        <v>3.6607101230804206e-06</v>
      </c>
      <c r="J202" s="2">
        <f>LN(1+F202+E202)</f>
        <v>-0.00994433187970462</v>
      </c>
      <c r="K202" s="2">
        <f>LN(1+G202+E202)</f>
        <v>-0.0018893515209845832</v>
      </c>
      <c r="L202" s="2">
        <f>LN(1+E202)</f>
        <v>2.573008066571031e-05</v>
      </c>
      <c r="M202" s="2">
        <f>LN(1+C202+E202)</f>
        <v>-0.009454753448117224</v>
      </c>
      <c r="N202" s="2">
        <f>LN(1+D202+E202)</f>
        <v>-0.003935400373657888</v>
      </c>
      <c r="O202" s="2">
        <f>LN(1+C202+E202+Inputs!$B$7/Inputs!$B$9)</f>
        <v>-0.00944473862137261</v>
      </c>
      <c r="P202" s="2">
        <f>LN(1+D202+E202+Inputs!$B$8/Inputs!$B$9)</f>
        <v>-0.003935400373657888</v>
      </c>
      <c r="Q202" s="2">
        <f>LN(1+E202+Inputs!$B$6/Inputs!$B$9)</f>
        <v>4.5570643170878975e-05</v>
      </c>
    </row>
    <row r="203" spans="1:17">
      <c r="A203" s="3">
        <v>42662</v>
      </c>
      <c r="B203" t="s">
        <v>50</v>
      </c>
      <c r="C203" s="2">
        <v>-0.01050138466815811</v>
      </c>
      <c r="D203" s="2">
        <v>0.0002880549474809647</v>
      </c>
      <c r="E203" s="2">
        <v>2.580946057041675E-05</v>
      </c>
      <c r="F203" s="2">
        <f>Inputs!$E$2*C203+Inputs!$F$2*D203</f>
        <v>-0.008228274766037802</v>
      </c>
      <c r="G203" s="2">
        <f>Inputs!$E$3*C203+Inputs!$F$3*D203</f>
        <v>0.0034960813374246</v>
      </c>
      <c r="H203" s="2">
        <f>F203^2</f>
        <v>6.770450562541444e-05</v>
      </c>
      <c r="I203" s="2">
        <f>G203^2</f>
        <v>1.2222584717888578e-05</v>
      </c>
      <c r="J203" s="2">
        <f>LN(1+F203+E203)</f>
        <v>-0.008236290618303254</v>
      </c>
      <c r="K203" s="2">
        <f>LN(1+G203+E203)</f>
        <v>0.0035157034637527686</v>
      </c>
      <c r="L203" s="2">
        <f>LN(1+E203)</f>
        <v>2.5809127511673065e-05</v>
      </c>
      <c r="M203" s="2">
        <f>LN(1+C203+E203)</f>
        <v>-0.010530830270020454</v>
      </c>
      <c r="N203" s="2">
        <f>LN(1+D203+E203)</f>
        <v>0.00031381516292175096</v>
      </c>
      <c r="O203" s="2">
        <f>LN(1+C203+E203+Inputs!$B$7/Inputs!$B$9)</f>
        <v>-0.010520804660806585</v>
      </c>
      <c r="P203" s="2">
        <f>LN(1+D203+E203+Inputs!$B$8/Inputs!$B$9)</f>
        <v>0.00031381516292175096</v>
      </c>
      <c r="Q203" s="2">
        <f>LN(1+E203+Inputs!$B$6/Inputs!$B$9)</f>
        <v>4.564968844852346e-05</v>
      </c>
    </row>
    <row r="204" spans="1:17">
      <c r="A204" s="3">
        <v>42663</v>
      </c>
      <c r="B204" t="s">
        <v>50</v>
      </c>
      <c r="C204" s="2">
        <v>-0.001964672018863759</v>
      </c>
      <c r="D204" s="2">
        <v>-0.007592447929620311</v>
      </c>
      <c r="E204" s="2">
        <v>2.588850945424651E-05</v>
      </c>
      <c r="F204" s="2">
        <f>Inputs!$E$2*C204+Inputs!$F$2*D204</f>
        <v>-0.0061272063728632</v>
      </c>
      <c r="G204" s="2">
        <f>Inputs!$E$3*C204+Inputs!$F$3*D204</f>
        <v>-0.0085215359098848</v>
      </c>
      <c r="H204" s="2">
        <f>F204^2</f>
        <v>3.7542657935655414e-05</v>
      </c>
      <c r="I204" s="2">
        <f>G204^2</f>
        <v>7.261657426345616e-05</v>
      </c>
      <c r="J204" s="2">
        <f>LN(1+F204+E204)</f>
        <v>-0.006120006960771001</v>
      </c>
      <c r="K204" s="2">
        <f>LN(1+G204+E204)</f>
        <v>-0.008531941118085265</v>
      </c>
      <c r="L204" s="2">
        <f>LN(1+E204)</f>
        <v>2.588817435227557e-05</v>
      </c>
      <c r="M204" s="2">
        <f>LN(1+C204+E204)</f>
        <v>-0.0019406653829151317</v>
      </c>
      <c r="N204" s="2">
        <f>LN(1+D204+E204)</f>
        <v>-0.007595331057650677</v>
      </c>
      <c r="O204" s="2">
        <f>LN(1+C204+E204+Inputs!$B$7/Inputs!$B$9)</f>
        <v>-0.0019307255260686876</v>
      </c>
      <c r="P204" s="2">
        <f>LN(1+D204+E204+Inputs!$B$8/Inputs!$B$9)</f>
        <v>-0.007595331057650677</v>
      </c>
      <c r="Q204" s="2">
        <f>LN(1+E204+Inputs!$B$6/Inputs!$B$9)</f>
        <v>4.5728733720807926e-05</v>
      </c>
    </row>
    <row r="205" spans="1:17">
      <c r="A205" s="3">
        <v>42664</v>
      </c>
      <c r="B205" t="s">
        <v>50</v>
      </c>
      <c r="C205" s="2">
        <v>-0.009659202740316499</v>
      </c>
      <c r="D205" s="2">
        <v>-0.008212602260985222</v>
      </c>
      <c r="E205" s="2">
        <v>2.596755833807627E-05</v>
      </c>
      <c r="F205" s="2">
        <f>Inputs!$E$2*C205+Inputs!$F$2*D205</f>
        <v>-0.0126549235488438</v>
      </c>
      <c r="G205" s="2">
        <f>Inputs!$E$3*C205+Inputs!$F$3*D205</f>
        <v>-0.006957361891087201</v>
      </c>
      <c r="H205" s="2">
        <f>F205^2</f>
        <v>0.00016014709002708138</v>
      </c>
      <c r="I205" s="2">
        <f>G205^2</f>
        <v>4.840488448355247e-05</v>
      </c>
      <c r="J205" s="2">
        <f>LN(1+F205+E205)</f>
        <v>-0.012709379079076455</v>
      </c>
      <c r="K205" s="2">
        <f>LN(1+G205+E205)</f>
        <v>-0.006955528031222866</v>
      </c>
      <c r="L205" s="2">
        <f>LN(1+E205)</f>
        <v>2.5967221186851713e-05</v>
      </c>
      <c r="M205" s="2">
        <f>LN(1+C205+E205)</f>
        <v>-0.009679934947234016</v>
      </c>
      <c r="N205" s="2">
        <f>LN(1+D205+E205)</f>
        <v>-0.008220329218997329</v>
      </c>
      <c r="O205" s="2">
        <f>LN(1+C205+E205+Inputs!$B$7/Inputs!$B$9)</f>
        <v>-0.009669917865093072</v>
      </c>
      <c r="P205" s="2">
        <f>LN(1+D205+E205+Inputs!$B$8/Inputs!$B$9)</f>
        <v>-0.008220329218997329</v>
      </c>
      <c r="Q205" s="2">
        <f>LN(1+E205+Inputs!$B$6/Inputs!$B$9)</f>
        <v>4.5807778987066276e-05</v>
      </c>
    </row>
    <row r="206" spans="1:17">
      <c r="A206" s="3">
        <v>42667</v>
      </c>
      <c r="B206" t="s">
        <v>50</v>
      </c>
      <c r="C206" s="2">
        <v>0.02279739525508005</v>
      </c>
      <c r="D206" s="2">
        <v>-0.001506216510572259</v>
      </c>
      <c r="E206" s="2">
        <v>2.604660722190603E-05</v>
      </c>
      <c r="F206" s="2">
        <f>Inputs!$E$2*C206+Inputs!$F$2*D206</f>
        <v>0.0173341862977208</v>
      </c>
      <c r="G206" s="2">
        <f>Inputs!$E$3*C206+Inputs!$F$3*D206</f>
        <v>-0.0086466783892104</v>
      </c>
      <c r="H206" s="2">
        <f>F206^2</f>
        <v>0.00030047401460409155</v>
      </c>
      <c r="I206" s="2">
        <f>G206^2</f>
        <v>7.476504716643815e-05</v>
      </c>
      <c r="J206" s="2">
        <f>LN(1+F206+E206)</f>
        <v>0.017211265661033783</v>
      </c>
      <c r="K206" s="2">
        <f>LN(1+G206+E206)</f>
        <v>-0.008658004366687145</v>
      </c>
      <c r="L206" s="2">
        <f>LN(1+E206)</f>
        <v>2.6046268014957413e-05</v>
      </c>
      <c r="M206" s="2">
        <f>LN(1+C206+E206)</f>
        <v>0.022566883474462784</v>
      </c>
      <c r="N206" s="2">
        <f>LN(1+D206+E206)</f>
        <v>-0.001481266436992342</v>
      </c>
      <c r="O206" s="2">
        <f>LN(1+C206+E206+Inputs!$B$7/Inputs!$B$9)</f>
        <v>0.022576582691750457</v>
      </c>
      <c r="P206" s="2">
        <f>LN(1+D206+E206+Inputs!$B$8/Inputs!$B$9)</f>
        <v>-0.001481266436992342</v>
      </c>
      <c r="Q206" s="2">
        <f>LN(1+E206+Inputs!$B$6/Inputs!$B$9)</f>
        <v>4.588682424685443e-05</v>
      </c>
    </row>
    <row r="207" spans="1:17">
      <c r="A207" s="3">
        <v>42668</v>
      </c>
      <c r="B207" t="s">
        <v>50</v>
      </c>
      <c r="C207" s="2">
        <v>-0.004351393673060557</v>
      </c>
      <c r="D207" s="2">
        <v>0.001224610527362983</v>
      </c>
      <c r="E207" s="2">
        <v>2.612565610573579E-05</v>
      </c>
      <c r="F207" s="2">
        <f>Inputs!$E$2*C207+Inputs!$F$2*D207</f>
        <v>-0.002746348622031</v>
      </c>
      <c r="G207" s="2">
        <f>Inputs!$E$3*C207+Inputs!$F$3*D207</f>
        <v>0.0027749507347538996</v>
      </c>
      <c r="H207" s="2">
        <f>F207^2</f>
        <v>7.542430753731573e-06</v>
      </c>
      <c r="I207" s="2">
        <f>G207^2</f>
        <v>7.700351580311208e-06</v>
      </c>
      <c r="J207" s="2">
        <f>LN(1+F207+E207)</f>
        <v>-0.0027239294956679914</v>
      </c>
      <c r="K207" s="2">
        <f>LN(1+G207+E207)</f>
        <v>0.0027971606868060434</v>
      </c>
      <c r="L207" s="2">
        <f>LN(1+E207)</f>
        <v>2.6125314837036756e-05</v>
      </c>
      <c r="M207" s="2">
        <f>LN(1+C207+E207)</f>
        <v>-0.00433464904875465</v>
      </c>
      <c r="N207" s="2">
        <f>LN(1+D207+E207)</f>
        <v>0.0012499546645501802</v>
      </c>
      <c r="O207" s="2">
        <f>LN(1+C207+E207+Inputs!$B$7/Inputs!$B$9)</f>
        <v>-0.004324685367665776</v>
      </c>
      <c r="P207" s="2">
        <f>LN(1+D207+E207+Inputs!$B$8/Inputs!$B$9)</f>
        <v>0.0012499546645501802</v>
      </c>
      <c r="Q207" s="2">
        <f>LN(1+E207+Inputs!$B$6/Inputs!$B$9)</f>
        <v>4.596586950061648e-05</v>
      </c>
    </row>
    <row r="208" spans="1:17">
      <c r="A208" s="3">
        <v>42669</v>
      </c>
      <c r="B208" t="s">
        <v>50</v>
      </c>
      <c r="C208" s="2">
        <v>-0.006735630412245997</v>
      </c>
      <c r="D208" s="2">
        <v>-0.004606557349770479</v>
      </c>
      <c r="E208" s="2">
        <v>2.620470498956555E-05</v>
      </c>
      <c r="F208" s="2">
        <f>Inputs!$E$2*C208+Inputs!$F$2*D208</f>
        <v>-0.0081524387396588</v>
      </c>
      <c r="G208" s="2">
        <f>Inputs!$E$3*C208+Inputs!$F$3*D208</f>
        <v>-0.0035071796960501997</v>
      </c>
      <c r="H208" s="2">
        <f>F208^2</f>
        <v>6.646225740388955e-05</v>
      </c>
      <c r="I208" s="2">
        <f>G208^2</f>
        <v>1.2300309420386771e-05</v>
      </c>
      <c r="J208" s="2">
        <f>LN(1+F208+E208)</f>
        <v>-0.008159431845570785</v>
      </c>
      <c r="K208" s="2">
        <f>LN(1+G208+E208)</f>
        <v>-0.0034870476811882534</v>
      </c>
      <c r="L208" s="2">
        <f>LN(1+E208)</f>
        <v>2.6204361652645658e-05</v>
      </c>
      <c r="M208" s="2">
        <f>LN(1+C208+E208)</f>
        <v>-0.006732035091318933</v>
      </c>
      <c r="N208" s="2">
        <f>LN(1+D208+E208)</f>
        <v>-0.004590874601764658</v>
      </c>
      <c r="O208" s="2">
        <f>LN(1+C208+E208+Inputs!$B$7/Inputs!$B$9)</f>
        <v>-0.006722047494903689</v>
      </c>
      <c r="P208" s="2">
        <f>LN(1+D208+E208+Inputs!$B$8/Inputs!$B$9)</f>
        <v>-0.004590874601764658</v>
      </c>
      <c r="Q208" s="2">
        <f>LN(1+E208+Inputs!$B$6/Inputs!$B$9)</f>
        <v>4.604491474790833e-05</v>
      </c>
    </row>
    <row r="209" spans="1:17">
      <c r="A209" s="3">
        <v>42670</v>
      </c>
      <c r="B209" t="s">
        <v>50</v>
      </c>
      <c r="C209" s="2">
        <v>-0.005488085313683859</v>
      </c>
      <c r="D209" s="2">
        <v>0.007306235224272518</v>
      </c>
      <c r="E209" s="2">
        <v>2.628375387339531E-05</v>
      </c>
      <c r="F209" s="2">
        <f>Inputs!$E$2*C209+Inputs!$F$2*D209</f>
        <v>-6.727116383400955e-06</v>
      </c>
      <c r="G209" s="2">
        <f>Inputs!$E$3*C209+Inputs!$F$3*D209</f>
        <v>0.010413907863232798</v>
      </c>
      <c r="H209" s="2">
        <f>F209^2</f>
        <v>4.5254094835821545e-11</v>
      </c>
      <c r="I209" s="2">
        <f>G209^2</f>
        <v>0.0001084494769839019</v>
      </c>
      <c r="J209" s="2">
        <f>LN(1+F209+E209)</f>
        <v>1.9556446261106546e-05</v>
      </c>
      <c r="K209" s="2">
        <f>LN(1+G209+E209)</f>
        <v>0.010386069189691947</v>
      </c>
      <c r="L209" s="2">
        <f>LN(1+E209)</f>
        <v>2.6283408461118006e-05</v>
      </c>
      <c r="M209" s="2">
        <f>LN(1+C209+E209)</f>
        <v>-0.005476771732240303</v>
      </c>
      <c r="N209" s="2">
        <f>LN(1+D209+E209)</f>
        <v>0.0073057667553865805</v>
      </c>
      <c r="O209" s="2">
        <f>LN(1+C209+E209+Inputs!$B$7/Inputs!$B$9)</f>
        <v>-0.0054667966649610275</v>
      </c>
      <c r="P209" s="2">
        <f>LN(1+D209+E209+Inputs!$B$8/Inputs!$B$9)</f>
        <v>0.0073057667553865805</v>
      </c>
      <c r="Q209" s="2">
        <f>LN(1+E209+Inputs!$B$6/Inputs!$B$9)</f>
        <v>4.61239599880639e-05</v>
      </c>
    </row>
    <row r="210" spans="1:17">
      <c r="A210" s="3">
        <v>42671</v>
      </c>
      <c r="B210" t="s">
        <v>50</v>
      </c>
      <c r="C210" s="2">
        <v>-0.01057293479554196</v>
      </c>
      <c r="D210" s="2">
        <v>0.0156207216386426</v>
      </c>
      <c r="E210" s="2">
        <v>2.636280275722507E-05</v>
      </c>
      <c r="F210" s="2">
        <f>Inputs!$E$2*C210+Inputs!$F$2*D210</f>
        <v>0.0009140851467522009</v>
      </c>
      <c r="G210" s="2">
        <f>Inputs!$E$3*C210+Inputs!$F$3*D210</f>
        <v>0.0219167464050342</v>
      </c>
      <c r="H210" s="2">
        <f>F210^2</f>
        <v>8.355516555129926e-07</v>
      </c>
      <c r="I210" s="2">
        <f>G210^2</f>
        <v>0.0004803437729825796</v>
      </c>
      <c r="J210" s="2">
        <f>LN(1+F210+E210)</f>
        <v>0.000940006005398254</v>
      </c>
      <c r="K210" s="2">
        <f>LN(1+G210+E210)</f>
        <v>0.021705824094905266</v>
      </c>
      <c r="L210" s="2">
        <f>LN(1+E210)</f>
        <v>2.636245526445215e-05</v>
      </c>
      <c r="M210" s="2">
        <f>LN(1+C210+E210)</f>
        <v>-0.010602581234920817</v>
      </c>
      <c r="N210" s="2">
        <f>LN(1+D210+E210)</f>
        <v>0.015525930980316247</v>
      </c>
      <c r="O210" s="2">
        <f>LN(1+C210+E210+Inputs!$B$7/Inputs!$B$9)</f>
        <v>-0.010592554906337611</v>
      </c>
      <c r="P210" s="2">
        <f>LN(1+D210+E210+Inputs!$B$8/Inputs!$B$9)</f>
        <v>0.015525930980316247</v>
      </c>
      <c r="Q210" s="2">
        <f>LN(1+E210+Inputs!$B$6/Inputs!$B$9)</f>
        <v>4.620300522308149e-05</v>
      </c>
    </row>
    <row r="211" spans="1:17">
      <c r="A211" s="3">
        <v>42674</v>
      </c>
      <c r="B211" t="s">
        <v>50</v>
      </c>
      <c r="C211" s="2">
        <v>-0.02465923886287193</v>
      </c>
      <c r="D211" s="2">
        <v>0.004759929556012372</v>
      </c>
      <c r="E211" s="2">
        <v>2.644185164105483E-05</v>
      </c>
      <c r="F211" s="2">
        <f>Inputs!$E$2*C211+Inputs!$F$2*D211</f>
        <v>-0.0168714333566904</v>
      </c>
      <c r="G211" s="2">
        <f>Inputs!$E$3*C211+Inputs!$F$3*D211</f>
        <v>0.013109687126075999</v>
      </c>
      <c r="H211" s="2">
        <f>F211^2</f>
        <v>0.00028464526350924555</v>
      </c>
      <c r="I211" s="2">
        <f>G211^2</f>
        <v>0.00017186389654360278</v>
      </c>
      <c r="J211" s="2">
        <f>LN(1+F211+E211)</f>
        <v>-0.016988482055060417</v>
      </c>
      <c r="K211" s="2">
        <f>LN(1+G211+E211)</f>
        <v>0.013050598249659266</v>
      </c>
      <c r="L211" s="2">
        <f>LN(1+E211)</f>
        <v>2.6441502061315858e-05</v>
      </c>
      <c r="M211" s="2">
        <f>LN(1+C211+E211)</f>
        <v>-0.02494126043719716</v>
      </c>
      <c r="N211" s="2">
        <f>LN(1+D211+E211)</f>
        <v>0.004774953152205572</v>
      </c>
      <c r="O211" s="2">
        <f>LN(1+C211+E211+Inputs!$B$7/Inputs!$B$9)</f>
        <v>-0.024931089309402077</v>
      </c>
      <c r="P211" s="2">
        <f>LN(1+D211+E211+Inputs!$B$8/Inputs!$B$9)</f>
        <v>0.004774953152205572</v>
      </c>
      <c r="Q211" s="2">
        <f>LN(1+E211+Inputs!$B$6/Inputs!$B$9)</f>
        <v>4.62820504516289e-05</v>
      </c>
    </row>
    <row r="212" spans="1:17">
      <c r="A212" s="3">
        <v>42675</v>
      </c>
      <c r="B212" t="s">
        <v>51</v>
      </c>
      <c r="C212" s="2">
        <v>-0.002910793094379067</v>
      </c>
      <c r="D212" s="2">
        <v>-0.00128984033849544</v>
      </c>
      <c r="E212" s="2">
        <v>2.652090052488459E-05</v>
      </c>
      <c r="F212" s="2">
        <f>Inputs!$E$2*C212+Inputs!$F$2*D212</f>
        <v>-0.0031025386786002</v>
      </c>
      <c r="G212" s="2">
        <f>Inputs!$E$3*C212+Inputs!$F$3*D212</f>
        <v>-0.0006745704778803001</v>
      </c>
      <c r="H212" s="2">
        <f>F212^2</f>
        <v>9.625746252210275e-06</v>
      </c>
      <c r="I212" s="2">
        <f>G212^2</f>
        <v>4.5504532962765643e-07</v>
      </c>
      <c r="J212" s="2">
        <f>LN(1+F212+E212)</f>
        <v>-0.0030807584448402955</v>
      </c>
      <c r="K212" s="2">
        <f>LN(1+G212+E212)</f>
        <v>-0.0006482596522468688</v>
      </c>
      <c r="L212" s="2">
        <f>LN(1+E212)</f>
        <v>2.652054885215321e-05</v>
      </c>
      <c r="M212" s="2">
        <f>LN(1+C212+E212)</f>
        <v>-0.0028884397223515714</v>
      </c>
      <c r="N212" s="2">
        <f>LN(1+D212+E212)</f>
        <v>-0.0012641180986844194</v>
      </c>
      <c r="O212" s="2">
        <f>LN(1+C212+E212+Inputs!$B$7/Inputs!$B$9)</f>
        <v>-0.0028784904403449784</v>
      </c>
      <c r="P212" s="2">
        <f>LN(1+D212+E212+Inputs!$B$8/Inputs!$B$9)</f>
        <v>-0.0012641180986844194</v>
      </c>
      <c r="Q212" s="2">
        <f>LN(1+E212+Inputs!$B$6/Inputs!$B$9)</f>
        <v>4.636109567415019e-05</v>
      </c>
    </row>
    <row r="213" spans="1:17">
      <c r="A213" s="3">
        <v>42676</v>
      </c>
      <c r="B213" t="s">
        <v>51</v>
      </c>
      <c r="C213" s="2">
        <v>0.003740398471427769</v>
      </c>
      <c r="D213" s="2">
        <v>-0.00226280674008917</v>
      </c>
      <c r="E213" s="2">
        <v>2.659994940871435E-05</v>
      </c>
      <c r="F213" s="2">
        <f>Inputs!$E$2*C213+Inputs!$F$2*D213</f>
        <v>0.0016346347330890001</v>
      </c>
      <c r="G213" s="2">
        <f>Inputs!$E$3*C213+Inputs!$F$3*D213</f>
        <v>-0.0038374876295352</v>
      </c>
      <c r="H213" s="2">
        <f>F213^2</f>
        <v>2.6720307106209465e-06</v>
      </c>
      <c r="I213" s="2">
        <f>G213^2</f>
        <v>1.472631130683569e-05</v>
      </c>
      <c r="J213" s="2">
        <f>LN(1+F213+E213)</f>
        <v>0.0016598563584313208</v>
      </c>
      <c r="K213" s="2">
        <f>LN(1+G213+E213)</f>
        <v>-0.0038181676138067545</v>
      </c>
      <c r="L213" s="2">
        <f>LN(1+E213)</f>
        <v>2.6599595636520128e-05</v>
      </c>
      <c r="M213" s="2">
        <f>LN(1+C213+E213)</f>
        <v>0.0037599210503462582</v>
      </c>
      <c r="N213" s="2">
        <f>LN(1+D213+E213)</f>
        <v>-0.0022387108348222097</v>
      </c>
      <c r="O213" s="2">
        <f>LN(1+C213+E213+Inputs!$B$7/Inputs!$B$9)</f>
        <v>0.0037698044056585734</v>
      </c>
      <c r="P213" s="2">
        <f>LN(1+D213+E213+Inputs!$B$8/Inputs!$B$9)</f>
        <v>-0.0022387108348222097</v>
      </c>
      <c r="Q213" s="2">
        <f>LN(1+E213+Inputs!$B$6/Inputs!$B$9)</f>
        <v>4.64401408902013e-05</v>
      </c>
    </row>
    <row r="214" spans="1:17">
      <c r="A214" s="3">
        <v>42677</v>
      </c>
      <c r="B214" t="s">
        <v>51</v>
      </c>
      <c r="C214" s="2">
        <v>-0.01653756731322183</v>
      </c>
      <c r="D214" s="2">
        <v>0.01176032020272274</v>
      </c>
      <c r="E214" s="2">
        <v>2.667899829254411E-05</v>
      </c>
      <c r="F214" s="2">
        <f>Inputs!$E$2*C214+Inputs!$F$2*D214</f>
        <v>-0.0061738617289438</v>
      </c>
      <c r="G214" s="2">
        <f>Inputs!$E$3*C214+Inputs!$F$3*D214</f>
        <v>0.0190736544372342</v>
      </c>
      <c r="H214" s="2">
        <f>F214^2</f>
        <v>3.8116568648116935e-05</v>
      </c>
      <c r="I214" s="2">
        <f>G214^2</f>
        <v>0.00036380429359102385</v>
      </c>
      <c r="J214" s="2">
        <f>LN(1+F214+E214)</f>
        <v>-0.006166154446775574</v>
      </c>
      <c r="K214" s="2">
        <f>LN(1+G214+E214)</f>
        <v>0.018920212038726906</v>
      </c>
      <c r="L214" s="2">
        <f>LN(1+E214)</f>
        <v>2.6678642414860692e-05</v>
      </c>
      <c r="M214" s="2">
        <f>LN(1+C214+E214)</f>
        <v>-0.016648712200508405</v>
      </c>
      <c r="N214" s="2">
        <f>LN(1+D214+E214)</f>
        <v>0.011718073614471637</v>
      </c>
      <c r="O214" s="2">
        <f>LN(1+C214+E214+Inputs!$B$7/Inputs!$B$9)</f>
        <v>-0.016638625068106528</v>
      </c>
      <c r="P214" s="2">
        <f>LN(1+D214+E214+Inputs!$B$8/Inputs!$B$9)</f>
        <v>0.011718073614471637</v>
      </c>
      <c r="Q214" s="2">
        <f>LN(1+E214+Inputs!$B$6/Inputs!$B$9)</f>
        <v>4.651918610022631e-05</v>
      </c>
    </row>
    <row r="215" spans="1:17">
      <c r="A215" s="3">
        <v>42678</v>
      </c>
      <c r="B215" t="s">
        <v>51</v>
      </c>
      <c r="C215" s="2">
        <v>0.0002205036221064329</v>
      </c>
      <c r="D215" s="2">
        <v>0.002493498058344907</v>
      </c>
      <c r="E215" s="2">
        <v>2.675804717637387E-05</v>
      </c>
      <c r="F215" s="2">
        <f>Inputs!$E$2*C215+Inputs!$F$2*D215</f>
        <v>0.0016725017326917999</v>
      </c>
      <c r="G215" s="2">
        <f>Inputs!$E$3*C215+Inputs!$F$3*D215</f>
        <v>0.0029260465833822</v>
      </c>
      <c r="H215" s="2">
        <f>F215^2</f>
        <v>2.797262045857073e-06</v>
      </c>
      <c r="I215" s="2">
        <f>G215^2</f>
        <v>8.561748608122647e-06</v>
      </c>
      <c r="J215" s="2">
        <f>LN(1+F215+E215)</f>
        <v>0.0016978176714147971</v>
      </c>
      <c r="K215" s="2">
        <f>LN(1+G215+E215)</f>
        <v>0.002948453665893272</v>
      </c>
      <c r="L215" s="2">
        <f>LN(1+E215)</f>
        <v>2.675768918584267e-05</v>
      </c>
      <c r="M215" s="2">
        <f>LN(1+C215+E215)</f>
        <v>0.0002472311051534794</v>
      </c>
      <c r="N215" s="2">
        <f>LN(1+D215+E215)</f>
        <v>0.002517085585999219</v>
      </c>
      <c r="O215" s="2">
        <f>LN(1+C215+E215+Inputs!$B$7/Inputs!$B$9)</f>
        <v>0.00025714923850293076</v>
      </c>
      <c r="P215" s="2">
        <f>LN(1+D215+E215+Inputs!$B$8/Inputs!$B$9)</f>
        <v>0.002517085585999219</v>
      </c>
      <c r="Q215" s="2">
        <f>LN(1+E215+Inputs!$B$6/Inputs!$B$9)</f>
        <v>4.659823130289299e-05</v>
      </c>
    </row>
    <row r="216" spans="1:17">
      <c r="A216" s="3">
        <v>42681</v>
      </c>
      <c r="B216" t="s">
        <v>51</v>
      </c>
      <c r="C216" s="2">
        <v>-0.01336972587142068</v>
      </c>
      <c r="D216" s="2">
        <v>0.004656106971154767</v>
      </c>
      <c r="E216" s="2">
        <v>2.683709606020363E-05</v>
      </c>
      <c r="F216" s="2">
        <f>Inputs!$E$2*C216+Inputs!$F$2*D216</f>
        <v>-0.0079021165144438</v>
      </c>
      <c r="G216" s="2">
        <f>Inputs!$E$3*C216+Inputs!$F$3*D216</f>
        <v>0.0095982461268123</v>
      </c>
      <c r="H216" s="2">
        <f>F216^2</f>
        <v>6.244344540784544e-05</v>
      </c>
      <c r="I216" s="2">
        <f>G216^2</f>
        <v>9.212632871086731e-05</v>
      </c>
      <c r="J216" s="2">
        <f>LN(1+F216+E216)</f>
        <v>-0.007906453207406556</v>
      </c>
      <c r="K216" s="2">
        <f>LN(1+G216+E216)</f>
        <v>0.009579057209808471</v>
      </c>
      <c r="L216" s="2">
        <f>LN(1+E216)</f>
        <v>2.683673595168645e-05</v>
      </c>
      <c r="M216" s="2">
        <f>LN(1+C216+E216)</f>
        <v>-0.01343270494865912</v>
      </c>
      <c r="N216" s="2">
        <f>LN(1+D216+E216)</f>
        <v>0.004672013197131356</v>
      </c>
      <c r="O216" s="2">
        <f>LN(1+C216+E216+Inputs!$B$7/Inputs!$B$9)</f>
        <v>-0.01342265020427714</v>
      </c>
      <c r="P216" s="2">
        <f>LN(1+D216+E216+Inputs!$B$8/Inputs!$B$9)</f>
        <v>0.004672013197131356</v>
      </c>
      <c r="Q216" s="2">
        <f>LN(1+E216+Inputs!$B$6/Inputs!$B$9)</f>
        <v>4.66772765004217e-05</v>
      </c>
    </row>
    <row r="217" spans="1:17">
      <c r="A217" s="3">
        <v>42682</v>
      </c>
      <c r="B217" t="s">
        <v>51</v>
      </c>
      <c r="C217" s="2">
        <v>-0.0002514986041058029</v>
      </c>
      <c r="D217" s="2">
        <v>0.001784518318819622</v>
      </c>
      <c r="E217" s="2">
        <v>2.691614494403339E-05</v>
      </c>
      <c r="F217" s="2">
        <f>Inputs!$E$2*C217+Inputs!$F$2*D217</f>
        <v>0.0008695121080072</v>
      </c>
      <c r="G217" s="2">
        <f>Inputs!$E$3*C217+Inputs!$F$3*D217</f>
        <v>0.0022168715638158</v>
      </c>
      <c r="H217" s="2">
        <f>F217^2</f>
        <v>7.560513059711247e-07</v>
      </c>
      <c r="I217" s="2">
        <f>G217^2</f>
        <v>4.914519530455111e-06</v>
      </c>
      <c r="J217" s="2">
        <f>LN(1+F217+E217)</f>
        <v>0.0008960267011017951</v>
      </c>
      <c r="K217" s="2">
        <f>LN(1+G217+E217)</f>
        <v>0.002241274176305405</v>
      </c>
      <c r="L217" s="2">
        <f>LN(1+E217)</f>
        <v>2.69157827110598e-05</v>
      </c>
      <c r="M217" s="2">
        <f>LN(1+C217+E217)</f>
        <v>-0.00022460768157890883</v>
      </c>
      <c r="N217" s="2">
        <f>LN(1+D217+E217)</f>
        <v>0.0018097957949515036</v>
      </c>
      <c r="O217" s="2">
        <f>LN(1+C217+E217+Inputs!$B$7/Inputs!$B$9)</f>
        <v>-0.000214684867388455</v>
      </c>
      <c r="P217" s="2">
        <f>LN(1+D217+E217+Inputs!$B$8/Inputs!$B$9)</f>
        <v>0.0018097957949515036</v>
      </c>
      <c r="Q217" s="2">
        <f>LN(1+E217+Inputs!$B$6/Inputs!$B$9)</f>
        <v>4.675632169148024e-05</v>
      </c>
    </row>
    <row r="218" spans="1:17">
      <c r="A218" s="3">
        <v>42683</v>
      </c>
      <c r="B218" t="s">
        <v>51</v>
      </c>
      <c r="C218" s="2">
        <v>0.004085279263793076</v>
      </c>
      <c r="D218" s="2">
        <v>-0.003750860655714191</v>
      </c>
      <c r="E218" s="2">
        <v>2.699519382786315E-05</v>
      </c>
      <c r="F218" s="2">
        <f>Inputs!$E$2*C218+Inputs!$F$2*D218</f>
        <v>0.0010177070176060005</v>
      </c>
      <c r="G218" s="2">
        <f>Inputs!$E$3*C218+Inputs!$F$3*D218</f>
        <v>-0.005726616565994699</v>
      </c>
      <c r="H218" s="2">
        <f>F218^2</f>
        <v>1.0357275736845003e-06</v>
      </c>
      <c r="I218" s="2">
        <f>G218^2</f>
        <v>3.2794137293924925e-05</v>
      </c>
      <c r="J218" s="2">
        <f>LN(1+F218+E218)</f>
        <v>0.0010441568898449359</v>
      </c>
      <c r="K218" s="2">
        <f>LN(1+G218+E218)</f>
        <v>-0.005715926197797597</v>
      </c>
      <c r="L218" s="2">
        <f>LN(1+E218)</f>
        <v>2.69948294644068e-05</v>
      </c>
      <c r="M218" s="2">
        <f>LN(1+C218+E218)</f>
        <v>0.004103842166373019</v>
      </c>
      <c r="N218" s="2">
        <f>LN(1+D218+E218)</f>
        <v>-0.003730816310256784</v>
      </c>
      <c r="O218" s="2">
        <f>LN(1+C218+E218+Inputs!$B$7/Inputs!$B$9)</f>
        <v>0.004113722123191976</v>
      </c>
      <c r="P218" s="2">
        <f>LN(1+D218+E218+Inputs!$B$8/Inputs!$B$9)</f>
        <v>-0.003730816310256784</v>
      </c>
      <c r="Q218" s="2">
        <f>LN(1+E218+Inputs!$B$6/Inputs!$B$9)</f>
        <v>4.6835366876512664e-05</v>
      </c>
    </row>
    <row r="219" spans="1:17">
      <c r="A219" s="3">
        <v>42684</v>
      </c>
      <c r="B219" t="s">
        <v>51</v>
      </c>
      <c r="C219" s="2">
        <v>0.005279532885230806</v>
      </c>
      <c r="D219" s="2">
        <v>0.0103742538901906</v>
      </c>
      <c r="E219" s="2">
        <v>2.707424271169291E-05</v>
      </c>
      <c r="F219" s="2">
        <f>Inputs!$E$2*C219+Inputs!$F$2*D219</f>
        <v>0.0104481786422994</v>
      </c>
      <c r="G219" s="2">
        <f>Inputs!$E$3*C219+Inputs!$F$3*D219</f>
        <v>0.0108652448026599</v>
      </c>
      <c r="H219" s="2">
        <f>F219^2</f>
        <v>0.00010916443694140134</v>
      </c>
      <c r="I219" s="2">
        <f>G219^2</f>
        <v>0.00011805354462172797</v>
      </c>
      <c r="J219" s="2">
        <f>LN(1+F219+E219)</f>
        <v>0.010420767591353974</v>
      </c>
      <c r="K219" s="2">
        <f>LN(1+G219+E219)</f>
        <v>0.010833425014051719</v>
      </c>
      <c r="L219" s="2">
        <f>LN(1+E219)</f>
        <v>2.7073876211283373e-05</v>
      </c>
      <c r="M219" s="2">
        <f>LN(1+C219+E219)</f>
        <v>0.005292576702420646</v>
      </c>
      <c r="N219" s="2">
        <f>LN(1+D219+E219)</f>
        <v>0.010347606515773423</v>
      </c>
      <c r="O219" s="2">
        <f>LN(1+C219+E219+Inputs!$B$7/Inputs!$B$9)</f>
        <v>0.005302444921629501</v>
      </c>
      <c r="P219" s="2">
        <f>LN(1+D219+E219+Inputs!$B$8/Inputs!$B$9)</f>
        <v>0.010347606515773423</v>
      </c>
      <c r="Q219" s="2">
        <f>LN(1+E219+Inputs!$B$6/Inputs!$B$9)</f>
        <v>4.691441205507492e-05</v>
      </c>
    </row>
    <row r="220" spans="1:17">
      <c r="A220" s="3">
        <v>42685</v>
      </c>
      <c r="B220" t="s">
        <v>51</v>
      </c>
      <c r="C220" s="2">
        <v>0.004610028009281998</v>
      </c>
      <c r="D220" s="2">
        <v>-0.001529966426214253</v>
      </c>
      <c r="E220" s="2">
        <v>2.715329159552267E-05</v>
      </c>
      <c r="F220" s="2">
        <f>Inputs!$E$2*C220+Inputs!$F$2*D220</f>
        <v>0.0027700425516972004</v>
      </c>
      <c r="G220" s="2">
        <f>Inputs!$E$3*C220+Inputs!$F$3*D220</f>
        <v>-0.0032189681142414</v>
      </c>
      <c r="H220" s="2">
        <f>F220^2</f>
        <v>7.673135738213137e-06</v>
      </c>
      <c r="I220" s="2">
        <f>G220^2</f>
        <v>1.0361755720502837e-05</v>
      </c>
      <c r="J220" s="2">
        <f>LN(1+F220+E220)</f>
        <v>0.0027932909711004183</v>
      </c>
      <c r="K220" s="2">
        <f>LN(1+G220+E220)</f>
        <v>-0.0031969195286547466</v>
      </c>
      <c r="L220" s="2">
        <f>LN(1+E220)</f>
        <v>2.7152922952133594e-05</v>
      </c>
      <c r="M220" s="2">
        <f>LN(1+C220+E220)</f>
        <v>0.004626462698963143</v>
      </c>
      <c r="N220" s="2">
        <f>LN(1+D220+E220)</f>
        <v>-0.0015039434908948773</v>
      </c>
      <c r="O220" s="2">
        <f>LN(1+C220+E220+Inputs!$B$7/Inputs!$B$9)</f>
        <v>0.004636337493688325</v>
      </c>
      <c r="P220" s="2">
        <f>LN(1+D220+E220+Inputs!$B$8/Inputs!$B$9)</f>
        <v>-0.0015039434908948773</v>
      </c>
      <c r="Q220" s="2">
        <f>LN(1+E220+Inputs!$B$6/Inputs!$B$9)</f>
        <v>4.699345722761107e-05</v>
      </c>
    </row>
    <row r="221" spans="1:17">
      <c r="A221" s="3">
        <v>42688</v>
      </c>
      <c r="B221" t="s">
        <v>51</v>
      </c>
      <c r="C221" s="2">
        <v>-0.006807050889139124</v>
      </c>
      <c r="D221" s="2">
        <v>0.001219899732609251</v>
      </c>
      <c r="E221" s="2">
        <v>2.723234047935243E-05</v>
      </c>
      <c r="F221" s="2">
        <f>Inputs!$E$2*C221+Inputs!$F$2*D221</f>
        <v>-0.0047137008717458</v>
      </c>
      <c r="G221" s="2">
        <f>Inputs!$E$3*C221+Inputs!$F$3*D221</f>
        <v>0.0035059949458724994</v>
      </c>
      <c r="H221" s="2">
        <f>F221^2</f>
        <v>2.2218975908297116e-05</v>
      </c>
      <c r="I221" s="2">
        <f>G221^2</f>
        <v>1.2292000560483509e-05</v>
      </c>
      <c r="J221" s="2">
        <f>LN(1+F221+E221)</f>
        <v>-0.004697484455577511</v>
      </c>
      <c r="K221" s="2">
        <f>LN(1+G221+E221)</f>
        <v>0.0035270001025494947</v>
      </c>
      <c r="L221" s="2">
        <f>LN(1+E221)</f>
        <v>2.7231969685625237e-05</v>
      </c>
      <c r="M221" s="2">
        <f>LN(1+C221+E221)</f>
        <v>-0.0068029059297777805</v>
      </c>
      <c r="N221" s="2">
        <f>LN(1+D221+E221)</f>
        <v>0.001246355049850795</v>
      </c>
      <c r="O221" s="2">
        <f>LN(1+C221+E221+Inputs!$B$7/Inputs!$B$9)</f>
        <v>-0.006792917625511657</v>
      </c>
      <c r="P221" s="2">
        <f>LN(1+D221+E221+Inputs!$B$8/Inputs!$B$9)</f>
        <v>0.001246355049850795</v>
      </c>
      <c r="Q221" s="2">
        <f>LN(1+E221+Inputs!$B$6/Inputs!$B$9)</f>
        <v>4.70725023927889e-05</v>
      </c>
    </row>
    <row r="222" spans="1:17">
      <c r="A222" s="3">
        <v>42689</v>
      </c>
      <c r="B222" t="s">
        <v>51</v>
      </c>
      <c r="C222" s="2">
        <v>0.008712538188984143</v>
      </c>
      <c r="D222" s="2">
        <v>-0.01386897375775318</v>
      </c>
      <c r="E222" s="2">
        <v>2.73113893631822E-05</v>
      </c>
      <c r="F222" s="2">
        <f>Inputs!$E$2*C222+Inputs!$F$2*D222</f>
        <v>-0.0013513537034646013</v>
      </c>
      <c r="G222" s="2">
        <f>Inputs!$E$3*C222+Inputs!$F$3*D222</f>
        <v>-0.0192565299659988</v>
      </c>
      <c r="H222" s="2">
        <f>F222^2</f>
        <v>1.8261568318674934e-06</v>
      </c>
      <c r="I222" s="2">
        <f>G222^2</f>
        <v>0.0003708139463314097</v>
      </c>
      <c r="J222" s="2">
        <f>LN(1+F222+E222)</f>
        <v>-0.0013249196326164882</v>
      </c>
      <c r="K222" s="2">
        <f>LN(1+G222+E222)</f>
        <v>-0.01941650479923506</v>
      </c>
      <c r="L222" s="2">
        <f>LN(1+E222)</f>
        <v>2.731101641375665e-05</v>
      </c>
      <c r="M222" s="2">
        <f>LN(1+C222+E222)</f>
        <v>0.008701878175531327</v>
      </c>
      <c r="N222" s="2">
        <f>LN(1+D222+E222)</f>
        <v>-0.013938351438750496</v>
      </c>
      <c r="O222" s="2">
        <f>LN(1+C222+E222+Inputs!$B$7/Inputs!$B$9)</f>
        <v>0.008711712808456748</v>
      </c>
      <c r="P222" s="2">
        <f>LN(1+D222+E222+Inputs!$B$8/Inputs!$B$9)</f>
        <v>-0.013938351438750496</v>
      </c>
      <c r="Q222" s="2">
        <f>LN(1+E222+Inputs!$B$6/Inputs!$B$9)</f>
        <v>4.715154755260674e-05</v>
      </c>
    </row>
    <row r="223" spans="1:17">
      <c r="A223" s="3">
        <v>42690</v>
      </c>
      <c r="B223" t="s">
        <v>51</v>
      </c>
      <c r="C223" s="2">
        <v>-0.004157455600487972</v>
      </c>
      <c r="D223" s="2">
        <v>0.01633533344653878</v>
      </c>
      <c r="E223" s="2">
        <v>2.739043824701196E-05</v>
      </c>
      <c r="F223" s="2">
        <f>Inputs!$E$2*C223+Inputs!$F$2*D223</f>
        <v>0.006475235587533001</v>
      </c>
      <c r="G223" s="2">
        <f>Inputs!$E$3*C223+Inputs!$F$3*D223</f>
        <v>0.0208496368159932</v>
      </c>
      <c r="H223" s="2">
        <f>F223^2</f>
        <v>4.192867591405385e-05</v>
      </c>
      <c r="I223" s="2">
        <f>G223^2</f>
        <v>0.00043470735535881914</v>
      </c>
      <c r="J223" s="2">
        <f>LN(1+F223+E223)</f>
        <v>0.006481575161151129</v>
      </c>
      <c r="K223" s="2">
        <f>LN(1+G223+E223)</f>
        <v>0.020662088494982633</v>
      </c>
      <c r="L223" s="2">
        <f>LN(1+E223)</f>
        <v>2.7390063135861716e-05</v>
      </c>
      <c r="M223" s="2">
        <f>LN(1+C223+E223)</f>
        <v>-0.004138617437120557</v>
      </c>
      <c r="N223" s="2">
        <f>LN(1+D223+E223)</f>
        <v>0.016230297140402007</v>
      </c>
      <c r="O223" s="2">
        <f>LN(1+C223+E223+Inputs!$B$7/Inputs!$B$9)</f>
        <v>-0.004128655709026985</v>
      </c>
      <c r="P223" s="2">
        <f>LN(1+D223+E223+Inputs!$B$8/Inputs!$B$9)</f>
        <v>0.016230297140402007</v>
      </c>
      <c r="Q223" s="2">
        <f>LN(1+E223+Inputs!$B$6/Inputs!$B$9)</f>
        <v>4.7230592706398474e-05</v>
      </c>
    </row>
    <row r="224" spans="1:17">
      <c r="A224" s="3">
        <v>42691</v>
      </c>
      <c r="B224" t="s">
        <v>51</v>
      </c>
      <c r="C224" s="2">
        <v>0.003434629076674752</v>
      </c>
      <c r="D224" s="2">
        <v>0.006573946532851958</v>
      </c>
      <c r="E224" s="2">
        <v>2.746948713084171E-05</v>
      </c>
      <c r="F224" s="2">
        <f>Inputs!$E$2*C224+Inputs!$F$2*D224</f>
        <v>0.006692071181051201</v>
      </c>
      <c r="G224" s="2">
        <f>Inputs!$E$3*C224+Inputs!$F$3*D224</f>
        <v>0.0068583471164199005</v>
      </c>
      <c r="H224" s="2">
        <f>F224^2</f>
        <v>4.478381669225601e-05</v>
      </c>
      <c r="I224" s="2">
        <f>G224^2</f>
        <v>4.703692516930517e-05</v>
      </c>
      <c r="J224" s="2">
        <f>LN(1+F224+E224)</f>
        <v>0.006697065181904902</v>
      </c>
      <c r="K224" s="2">
        <f>LN(1+G224+E224)</f>
        <v>0.006862217638562935</v>
      </c>
      <c r="L224" s="2">
        <f>LN(1+E224)</f>
        <v>2.746910985149636e-05</v>
      </c>
      <c r="M224" s="2">
        <f>LN(1+C224+E224)</f>
        <v>0.003456119297139232</v>
      </c>
      <c r="N224" s="2">
        <f>LN(1+D224+E224)</f>
        <v>0.006579722094661614</v>
      </c>
      <c r="O224" s="2">
        <f>LN(1+C224+E224+Inputs!$B$7/Inputs!$B$9)</f>
        <v>0.0034660056554735147</v>
      </c>
      <c r="P224" s="2">
        <f>LN(1+D224+E224+Inputs!$B$8/Inputs!$B$9)</f>
        <v>0.006579722094661614</v>
      </c>
      <c r="Q224" s="2">
        <f>LN(1+E224+Inputs!$B$6/Inputs!$B$9)</f>
        <v>4.730963785372004e-05</v>
      </c>
    </row>
    <row r="225" spans="1:17">
      <c r="A225" s="3">
        <v>42692</v>
      </c>
      <c r="B225" t="s">
        <v>51</v>
      </c>
      <c r="C225" s="2">
        <v>0.006530496250496689</v>
      </c>
      <c r="D225" s="2">
        <v>-0.0006436101115867728</v>
      </c>
      <c r="E225" s="2">
        <v>2.754853601467147E-05</v>
      </c>
      <c r="F225" s="2">
        <f>Inputs!$E$2*C225+Inputs!$F$2*D225</f>
        <v>0.004838230933445401</v>
      </c>
      <c r="G225" s="2">
        <f>Inputs!$E$3*C225+Inputs!$F$3*D225</f>
        <v>-0.0027314810090534997</v>
      </c>
      <c r="H225" s="2">
        <f>F225^2</f>
        <v>2.3408478565347954e-05</v>
      </c>
      <c r="I225" s="2">
        <f>G225^2</f>
        <v>7.460988502819925e-06</v>
      </c>
      <c r="J225" s="2">
        <f>LN(1+F225+E225)</f>
        <v>0.004853979825368175</v>
      </c>
      <c r="K225" s="2">
        <f>LN(1+G225+E225)</f>
        <v>-0.00270759470154991</v>
      </c>
      <c r="L225" s="2">
        <f>LN(1+E225)</f>
        <v>2.7548156561104658e-05</v>
      </c>
      <c r="M225" s="2">
        <f>LN(1+C225+E225)</f>
        <v>0.006536634366816942</v>
      </c>
      <c r="N225" s="2">
        <f>LN(1+D225+E225)</f>
        <v>-0.0006162514194787344</v>
      </c>
      <c r="O225" s="2">
        <f>LN(1+C225+E225+Inputs!$B$7/Inputs!$B$9)</f>
        <v>0.006546490317085772</v>
      </c>
      <c r="P225" s="2">
        <f>LN(1+D225+E225+Inputs!$B$8/Inputs!$B$9)</f>
        <v>-0.0006162514194787344</v>
      </c>
      <c r="Q225" s="2">
        <f>LN(1+E225+Inputs!$B$6/Inputs!$B$9)</f>
        <v>4.7388682995015505e-05</v>
      </c>
    </row>
    <row r="226" spans="1:17">
      <c r="A226" s="3">
        <v>42695</v>
      </c>
      <c r="B226" t="s">
        <v>51</v>
      </c>
      <c r="C226" s="2">
        <v>-0.002533758412157965</v>
      </c>
      <c r="D226" s="2">
        <v>-0.006178210089887668</v>
      </c>
      <c r="E226" s="2">
        <v>2.762758489850123E-05</v>
      </c>
      <c r="F226" s="2">
        <f>Inputs!$E$2*C226+Inputs!$F$2*D226</f>
        <v>-0.0057339327836592</v>
      </c>
      <c r="G226" s="2">
        <f>Inputs!$E$3*C226+Inputs!$F$3*D226</f>
        <v>-0.0066537245842182</v>
      </c>
      <c r="H226" s="2">
        <f>F226^2</f>
        <v>3.287798516752174e-05</v>
      </c>
      <c r="I226" s="2">
        <f>G226^2</f>
        <v>4.427205084262965e-05</v>
      </c>
      <c r="J226" s="2">
        <f>LN(1+F226+E226)</f>
        <v>-0.005722648360638918</v>
      </c>
      <c r="K226" s="2">
        <f>LN(1+G226+E226)</f>
        <v>-0.0066481470378120765</v>
      </c>
      <c r="L226" s="2">
        <f>LN(1+E226)</f>
        <v>2.7627203264242536e-05</v>
      </c>
      <c r="M226" s="2">
        <f>LN(1+C226+E226)</f>
        <v>-0.0025092764297472256</v>
      </c>
      <c r="N226" s="2">
        <f>LN(1+D226+E226)</f>
        <v>-0.0061695752552634806</v>
      </c>
      <c r="O226" s="2">
        <f>LN(1+C226+E226+Inputs!$B$7/Inputs!$B$9)</f>
        <v>-0.0024993309194093136</v>
      </c>
      <c r="P226" s="2">
        <f>LN(1+D226+E226+Inputs!$B$8/Inputs!$B$9)</f>
        <v>-0.0061695752552634806</v>
      </c>
      <c r="Q226" s="2">
        <f>LN(1+E226+Inputs!$B$6/Inputs!$B$9)</f>
        <v>4.74677281298408e-05</v>
      </c>
    </row>
    <row r="227" spans="1:17">
      <c r="A227" s="3">
        <v>42696</v>
      </c>
      <c r="B227" t="s">
        <v>51</v>
      </c>
      <c r="C227" s="2">
        <v>-0.01084905607553677</v>
      </c>
      <c r="D227" s="2">
        <v>-0.004682580323579574</v>
      </c>
      <c r="E227" s="2">
        <v>2.770663378233099E-05</v>
      </c>
      <c r="F227" s="2">
        <f>Inputs!$E$2*C227+Inputs!$F$2*D227</f>
        <v>-0.0114887930545776</v>
      </c>
      <c r="G227" s="2">
        <f>Inputs!$E$3*C227+Inputs!$F$3*D227</f>
        <v>-0.0023643795656349002</v>
      </c>
      <c r="H227" s="2">
        <f>F227^2</f>
        <v>0.0001319923658509105</v>
      </c>
      <c r="I227" s="2">
        <f>G227^2</f>
        <v>5.5902907303918795e-06</v>
      </c>
      <c r="J227" s="2">
        <f>LN(1+F227+E227)</f>
        <v>-0.011527270854740236</v>
      </c>
      <c r="K227" s="2">
        <f>LN(1+G227+E227)</f>
        <v>-0.0023394072122913047</v>
      </c>
      <c r="L227" s="2">
        <f>LN(1+E227)</f>
        <v>2.770624996024388e-05</v>
      </c>
      <c r="M227" s="2">
        <f>LN(1+C227+E227)</f>
        <v>-0.010880326100894693</v>
      </c>
      <c r="N227" s="2">
        <f>LN(1+D227+E227)</f>
        <v>-0.004665741352511546</v>
      </c>
      <c r="O227" s="2">
        <f>LN(1+C227+E227+Inputs!$B$7/Inputs!$B$9)</f>
        <v>-0.010870296987177404</v>
      </c>
      <c r="P227" s="2">
        <f>LN(1+D227+E227+Inputs!$B$8/Inputs!$B$9)</f>
        <v>-0.004665741352511546</v>
      </c>
      <c r="Q227" s="2">
        <f>LN(1+E227+Inputs!$B$6/Inputs!$B$9)</f>
        <v>4.754677325752983e-05</v>
      </c>
    </row>
    <row r="228" spans="1:17">
      <c r="A228" s="3">
        <v>42697</v>
      </c>
      <c r="B228" t="s">
        <v>51</v>
      </c>
      <c r="C228" s="2">
        <v>0.005583743504914898</v>
      </c>
      <c r="D228" s="2">
        <v>-0.01296279157345844</v>
      </c>
      <c r="E228" s="2">
        <v>2.778568266616076E-05</v>
      </c>
      <c r="F228" s="2">
        <f>Inputs!$E$2*C228+Inputs!$F$2*D228</f>
        <v>-0.003310680140142799</v>
      </c>
      <c r="G228" s="2">
        <f>Inputs!$E$3*C228+Inputs!$F$3*D228</f>
        <v>-0.017230472939624097</v>
      </c>
      <c r="H228" s="2">
        <f>F228^2</f>
        <v>1.0960602990335945e-05</v>
      </c>
      <c r="I228" s="2">
        <f>G228^2</f>
        <v>0.0002968891977231183</v>
      </c>
      <c r="J228" s="2">
        <f>LN(1+F228+E228)</f>
        <v>-0.003288294978285316</v>
      </c>
      <c r="K228" s="2">
        <f>LN(1+G228+E228)</f>
        <v>-0.017352372625540284</v>
      </c>
      <c r="L228" s="2">
        <f>LN(1+E228)</f>
        <v>2.7785296651107036e-05</v>
      </c>
      <c r="M228" s="2">
        <f>LN(1+C228+E228)</f>
        <v>0.005595843211850747</v>
      </c>
      <c r="N228" s="2">
        <f>LN(1+D228+E228)</f>
        <v>-0.013019391555377196</v>
      </c>
      <c r="O228" s="2">
        <f>LN(1+C228+E228+Inputs!$B$7/Inputs!$B$9)</f>
        <v>0.005605708438827715</v>
      </c>
      <c r="P228" s="2">
        <f>LN(1+D228+E228+Inputs!$B$8/Inputs!$B$9)</f>
        <v>-0.013019391555377196</v>
      </c>
      <c r="Q228" s="2">
        <f>LN(1+E228+Inputs!$B$6/Inputs!$B$9)</f>
        <v>4.762581838008089e-05</v>
      </c>
    </row>
    <row r="229" spans="1:17">
      <c r="A229" s="3">
        <v>42699</v>
      </c>
      <c r="B229" t="s">
        <v>51</v>
      </c>
      <c r="C229" s="2">
        <v>-0.009484390896236523</v>
      </c>
      <c r="D229" s="2">
        <v>0.004009403352130683</v>
      </c>
      <c r="E229" s="2">
        <v>2.786473154999052E-05</v>
      </c>
      <c r="F229" s="2">
        <f>Inputs!$E$2*C229+Inputs!$F$2*D229</f>
        <v>-0.005181870705711002</v>
      </c>
      <c r="G229" s="2">
        <f>Inputs!$E$3*C229+Inputs!$F$3*D229</f>
        <v>0.007656601291428299</v>
      </c>
      <c r="H229" s="2">
        <f>F229^2</f>
        <v>2.6851784010705835e-05</v>
      </c>
      <c r="I229" s="2">
        <f>G229^2</f>
        <v>5.8623543335901496e-05</v>
      </c>
      <c r="J229" s="2">
        <f>LN(1+F229+E229)</f>
        <v>-0.00516733367671364</v>
      </c>
      <c r="K229" s="2">
        <f>LN(1+G229+E229)</f>
        <v>0.007655090906032446</v>
      </c>
      <c r="L229" s="2">
        <f>LN(1+E229)</f>
        <v>2.7864343335499777e-05</v>
      </c>
      <c r="M229" s="2">
        <f>LN(1+C229+E229)</f>
        <v>-0.009501523008811286</v>
      </c>
      <c r="N229" s="2">
        <f>LN(1+D229+E229)</f>
        <v>0.004029140185881793</v>
      </c>
      <c r="O229" s="2">
        <f>LN(1+C229+E229+Inputs!$B$7/Inputs!$B$9)</f>
        <v>-0.00949150771366902</v>
      </c>
      <c r="P229" s="2">
        <f>LN(1+D229+E229+Inputs!$B$8/Inputs!$B$9)</f>
        <v>0.004029140185881793</v>
      </c>
      <c r="Q229" s="2">
        <f>LN(1+E229+Inputs!$B$6/Inputs!$B$9)</f>
        <v>4.770486349616179e-05</v>
      </c>
    </row>
    <row r="230" spans="1:17">
      <c r="A230" s="3">
        <v>42702</v>
      </c>
      <c r="B230" t="s">
        <v>51</v>
      </c>
      <c r="C230" s="2">
        <v>-0.007642408122700158</v>
      </c>
      <c r="D230" s="2">
        <v>-0.006843999584376729</v>
      </c>
      <c r="E230" s="2">
        <v>2.794378043382028E-05</v>
      </c>
      <c r="F230" s="2">
        <f>Inputs!$E$2*C230+Inputs!$F$2*D230</f>
        <v>-0.0102203262487862</v>
      </c>
      <c r="G230" s="2">
        <f>Inputs!$E$3*C230+Inputs!$F$3*D230</f>
        <v>-0.005920077064442399</v>
      </c>
      <c r="H230" s="2">
        <f>F230^2</f>
        <v>0.0001044550686316282</v>
      </c>
      <c r="I230" s="2">
        <f>G230^2</f>
        <v>3.504731244893693e-05</v>
      </c>
      <c r="J230" s="2">
        <f>LN(1+F230+E230)</f>
        <v>-0.010244680462799962</v>
      </c>
      <c r="K230" s="2">
        <f>LN(1+G230+E230)</f>
        <v>-0.0059095603902668435</v>
      </c>
      <c r="L230" s="2">
        <f>LN(1+E230)</f>
        <v>2.7943390013866177e-05</v>
      </c>
      <c r="M230" s="2">
        <f>LN(1+C230+E230)</f>
        <v>-0.007643602383834841</v>
      </c>
      <c r="N230" s="2">
        <f>LN(1+D230+E230)</f>
        <v>-0.006839391209705509</v>
      </c>
      <c r="O230" s="2">
        <f>LN(1+C230+E230+Inputs!$B$7/Inputs!$B$9)</f>
        <v>-0.007633605678948019</v>
      </c>
      <c r="P230" s="2">
        <f>LN(1+D230+E230+Inputs!$B$8/Inputs!$B$9)</f>
        <v>-0.006839391209705509</v>
      </c>
      <c r="Q230" s="2">
        <f>LN(1+E230+Inputs!$B$6/Inputs!$B$9)</f>
        <v>4.77839086062166e-05</v>
      </c>
    </row>
    <row r="231" spans="1:17">
      <c r="A231" s="3">
        <v>42703</v>
      </c>
      <c r="B231" t="s">
        <v>51</v>
      </c>
      <c r="C231" s="2">
        <v>-0.009454610335503103</v>
      </c>
      <c r="D231" s="2">
        <v>0.003520800876405745</v>
      </c>
      <c r="E231" s="2">
        <v>2.802282931765004E-05</v>
      </c>
      <c r="F231" s="2">
        <f>Inputs!$E$2*C231+Inputs!$F$2*D231</f>
        <v>-0.0054512077425588005</v>
      </c>
      <c r="G231" s="2">
        <f>Inputs!$E$3*C231+Inputs!$F$3*D231</f>
        <v>0.007061344152338099</v>
      </c>
      <c r="H231" s="2">
        <f>F231^2</f>
        <v>2.9715665852533015e-05</v>
      </c>
      <c r="I231" s="2">
        <f>G231^2</f>
        <v>4.986258123775947e-05</v>
      </c>
      <c r="J231" s="2">
        <f>LN(1+F231+E231)</f>
        <v>-0.005437943764714572</v>
      </c>
      <c r="K231" s="2">
        <f>LN(1+G231+E231)</f>
        <v>0.0070643555600799195</v>
      </c>
      <c r="L231" s="2">
        <f>LN(1+E231)</f>
        <v>2.802243668576216e-05</v>
      </c>
      <c r="M231" s="2">
        <f>LN(1+C231+E231)</f>
        <v>-0.009471298988501475</v>
      </c>
      <c r="N231" s="2">
        <f>LN(1+D231+E231)</f>
        <v>0.003542541489474894</v>
      </c>
      <c r="O231" s="2">
        <f>LN(1+C231+E231+Inputs!$B$7/Inputs!$B$9)</f>
        <v>-0.0094612839960556</v>
      </c>
      <c r="P231" s="2">
        <f>LN(1+D231+E231+Inputs!$B$8/Inputs!$B$9)</f>
        <v>0.003542541489474894</v>
      </c>
      <c r="Q231" s="2">
        <f>LN(1+E231+Inputs!$B$6/Inputs!$B$9)</f>
        <v>4.786295370980124e-05</v>
      </c>
    </row>
    <row r="232" spans="1:17">
      <c r="A232" s="3">
        <v>42704</v>
      </c>
      <c r="B232" t="s">
        <v>51</v>
      </c>
      <c r="C232" s="2">
        <v>0.00760431785068488</v>
      </c>
      <c r="D232" s="2">
        <v>0.00360957055204339</v>
      </c>
      <c r="E232" s="2">
        <v>2.81018782014798E-05</v>
      </c>
      <c r="F232" s="2">
        <f>Inputs!$E$2*C232+Inputs!$F$2*D232</f>
        <v>0.0082491966117738</v>
      </c>
      <c r="G232" s="2">
        <f>Inputs!$E$3*C232+Inputs!$F$3*D232</f>
        <v>0.0020501893072460997</v>
      </c>
      <c r="H232" s="2">
        <f>F232^2</f>
        <v>6.804924473970035e-05</v>
      </c>
      <c r="I232" s="2">
        <f>G232^2</f>
        <v>4.2032761955462424e-06</v>
      </c>
      <c r="J232" s="2">
        <f>LN(1+F232+E232)</f>
        <v>0.008243229525048707</v>
      </c>
      <c r="K232" s="2">
        <f>LN(1+G232+E232)</f>
        <v>0.002076134525915414</v>
      </c>
      <c r="L232" s="2">
        <f>LN(1+E232)</f>
        <v>2.8101483350521616e-05</v>
      </c>
      <c r="M232" s="2">
        <f>LN(1+C232+E232)</f>
        <v>0.007603440176093336</v>
      </c>
      <c r="N232" s="2">
        <f>LN(1+D232+E232)</f>
        <v>0.0036310721016018055</v>
      </c>
      <c r="O232" s="2">
        <f>LN(1+C232+E232+Inputs!$B$7/Inputs!$B$9)</f>
        <v>0.007613285617635304</v>
      </c>
      <c r="P232" s="2">
        <f>LN(1+D232+E232+Inputs!$B$8/Inputs!$B$9)</f>
        <v>0.0036310721016018055</v>
      </c>
      <c r="Q232" s="2">
        <f>LN(1+E232+Inputs!$B$6/Inputs!$B$9)</f>
        <v>4.7941998806249616e-05</v>
      </c>
    </row>
    <row r="233" spans="1:17">
      <c r="A233" s="3">
        <v>42705</v>
      </c>
      <c r="B233" t="s">
        <v>52</v>
      </c>
      <c r="C233" s="2">
        <v>-0.001267810578307514</v>
      </c>
      <c r="D233" s="2">
        <v>0.01437067289146679</v>
      </c>
      <c r="E233" s="2">
        <v>2.818092708530955E-05</v>
      </c>
      <c r="F233" s="2">
        <f>Inputs!$E$2*C233+Inputs!$F$2*D233</f>
        <v>0.007608155272233799</v>
      </c>
      <c r="G233" s="2">
        <f>Inputs!$E$3*C233+Inputs!$F$3*D233</f>
        <v>0.017625150643252797</v>
      </c>
      <c r="H233" s="2">
        <f>F233^2</f>
        <v>5.7884026646418955e-05</v>
      </c>
      <c r="I233" s="2">
        <f>G233^2</f>
        <v>0.00031064593519735447</v>
      </c>
      <c r="J233" s="2">
        <f>LN(1+F233+E233)</f>
        <v>0.007607326973247647</v>
      </c>
      <c r="K233" s="2">
        <f>LN(1+G233+E233)</f>
        <v>0.017499321399372138</v>
      </c>
      <c r="L233" s="2">
        <f>LN(1+E233)</f>
        <v>2.818053001014289e-05</v>
      </c>
      <c r="M233" s="2">
        <f>LN(1+C233+E233)</f>
        <v>-0.0012403986276221244</v>
      </c>
      <c r="N233" s="2">
        <f>LN(1+D233+E233)</f>
        <v>0.01429617478945263</v>
      </c>
      <c r="O233" s="2">
        <f>LN(1+C233+E233+Inputs!$B$7/Inputs!$B$9)</f>
        <v>-0.0012304657288558724</v>
      </c>
      <c r="P233" s="2">
        <f>LN(1+D233+E233+Inputs!$B$8/Inputs!$B$9)</f>
        <v>0.01429617478945263</v>
      </c>
      <c r="Q233" s="2">
        <f>LN(1+E233+Inputs!$B$6/Inputs!$B$9)</f>
        <v>4.802104389756004e-05</v>
      </c>
    </row>
    <row r="234" spans="1:17">
      <c r="A234" s="3">
        <v>42706</v>
      </c>
      <c r="B234" t="s">
        <v>52</v>
      </c>
      <c r="C234" s="2">
        <v>-0.01881182807726395</v>
      </c>
      <c r="D234" s="2">
        <v>0.001918974420922927</v>
      </c>
      <c r="E234" s="2">
        <v>2.825997596913931E-05</v>
      </c>
      <c r="F234" s="2">
        <f>Inputs!$E$2*C234+Inputs!$F$2*D234</f>
        <v>-0.0138980778092574</v>
      </c>
      <c r="G234" s="2">
        <f>Inputs!$E$3*C234+Inputs!$F$3*D234</f>
        <v>0.0079463177282868</v>
      </c>
      <c r="H234" s="2">
        <f>F234^2</f>
        <v>0.000193156566792173</v>
      </c>
      <c r="I234" s="2">
        <f>G234^2</f>
        <v>6.314396543888509e-05</v>
      </c>
      <c r="J234" s="2">
        <f>LN(1+F234+E234)</f>
        <v>-0.01396690249973139</v>
      </c>
      <c r="K234" s="2">
        <f>LN(1+G234+E234)</f>
        <v>0.007942948799641553</v>
      </c>
      <c r="L234" s="2">
        <f>LN(1+E234)</f>
        <v>2.825957666329375e-05</v>
      </c>
      <c r="M234" s="2">
        <f>LN(1+C234+E234)</f>
        <v>-0.018962220000660345</v>
      </c>
      <c r="N234" s="2">
        <f>LN(1+D234+E234)</f>
        <v>0.001945340993528601</v>
      </c>
      <c r="O234" s="2">
        <f>LN(1+C234+E234+Inputs!$B$7/Inputs!$B$9)</f>
        <v>-0.018952109504701484</v>
      </c>
      <c r="P234" s="2">
        <f>LN(1+D234+E234+Inputs!$B$8/Inputs!$B$9)</f>
        <v>0.001945340993528601</v>
      </c>
      <c r="Q234" s="2">
        <f>LN(1+E234+Inputs!$B$6/Inputs!$B$9)</f>
        <v>4.8100088982400296e-05</v>
      </c>
    </row>
    <row r="235" spans="1:17">
      <c r="A235" s="3">
        <v>42709</v>
      </c>
      <c r="B235" t="s">
        <v>52</v>
      </c>
      <c r="C235" s="2">
        <v>0.007318060732332935</v>
      </c>
      <c r="D235" s="2">
        <v>0.002499145396916848</v>
      </c>
      <c r="E235" s="2">
        <v>2.833902485296908E-05</v>
      </c>
      <c r="F235" s="2">
        <f>Inputs!$E$2*C235+Inputs!$F$2*D235</f>
        <v>0.0073539358240166</v>
      </c>
      <c r="G235" s="2">
        <f>Inputs!$E$3*C235+Inputs!$F$3*D235</f>
        <v>0.0008035562566004999</v>
      </c>
      <c r="H235" s="2">
        <f>F235^2</f>
        <v>5.4080372103754714e-05</v>
      </c>
      <c r="I235" s="2">
        <f>G235^2</f>
        <v>6.457026575218085e-07</v>
      </c>
      <c r="J235" s="2">
        <f>LN(1+F235+E235)</f>
        <v>0.00735515922610881</v>
      </c>
      <c r="K235" s="2">
        <f>LN(1+G235+E235)</f>
        <v>0.0008315494483584469</v>
      </c>
      <c r="L235" s="2">
        <f>LN(1+E235)</f>
        <v>2.8338623310418276e-05</v>
      </c>
      <c r="M235" s="2">
        <f>LN(1+C235+E235)</f>
        <v>0.0073195463992904546</v>
      </c>
      <c r="N235" s="2">
        <f>LN(1+D235+E235)</f>
        <v>0.0025242957048435873</v>
      </c>
      <c r="O235" s="2">
        <f>LN(1+C235+E235+Inputs!$B$7/Inputs!$B$9)</f>
        <v>0.007329394636275029</v>
      </c>
      <c r="P235" s="2">
        <f>LN(1+D235+E235+Inputs!$B$8/Inputs!$B$9)</f>
        <v>0.0025242957048435873</v>
      </c>
      <c r="Q235" s="2">
        <f>LN(1+E235+Inputs!$B$6/Inputs!$B$9)</f>
        <v>4.817913406121447e-05</v>
      </c>
    </row>
    <row r="236" spans="1:17">
      <c r="A236" s="3">
        <v>42710</v>
      </c>
      <c r="B236" t="s">
        <v>52</v>
      </c>
      <c r="C236" s="2">
        <v>0.01999900277254009</v>
      </c>
      <c r="D236" s="2">
        <v>0.003987960681340854</v>
      </c>
      <c r="E236" s="2">
        <v>2.841807373679884E-05</v>
      </c>
      <c r="F236" s="2">
        <f>Inputs!$E$2*C236+Inputs!$F$2*D236</f>
        <v>0.0183919786268366</v>
      </c>
      <c r="G236" s="2">
        <f>Inputs!$E$3*C236+Inputs!$F$3*D236</f>
        <v>-0.0012141480141528004</v>
      </c>
      <c r="H236" s="2">
        <f>F236^2</f>
        <v>0.0003382648778100143</v>
      </c>
      <c r="I236" s="2">
        <f>G236^2</f>
        <v>1.4741554002711888e-06</v>
      </c>
      <c r="J236" s="2">
        <f>LN(1+F236+E236)</f>
        <v>0.01825279624252271</v>
      </c>
      <c r="K236" s="2">
        <f>LN(1+G236+E236)</f>
        <v>-0.0011864334743507227</v>
      </c>
      <c r="L236" s="2">
        <f>LN(1+E236)</f>
        <v>2.841766995129443e-05</v>
      </c>
      <c r="M236" s="2">
        <f>LN(1+C236+E236)</f>
        <v>0.019829510117458118</v>
      </c>
      <c r="N236" s="2">
        <f>LN(1+D236+E236)</f>
        <v>0.004008334637547655</v>
      </c>
      <c r="O236" s="2">
        <f>LN(1+C236+E236+Inputs!$B$7/Inputs!$B$9)</f>
        <v>0.019839235921367823</v>
      </c>
      <c r="P236" s="2">
        <f>LN(1+D236+E236+Inputs!$B$8/Inputs!$B$9)</f>
        <v>0.004008334637547655</v>
      </c>
      <c r="Q236" s="2">
        <f>LN(1+E236+Inputs!$B$6/Inputs!$B$9)</f>
        <v>4.825817913378051e-05</v>
      </c>
    </row>
    <row r="237" spans="1:17">
      <c r="A237" s="3">
        <v>42711</v>
      </c>
      <c r="B237" t="s">
        <v>52</v>
      </c>
      <c r="C237" s="2">
        <v>0.01953676038786725</v>
      </c>
      <c r="D237" s="2">
        <v>-0.004325910586436449</v>
      </c>
      <c r="E237" s="2">
        <v>2.84971226206286E-05</v>
      </c>
      <c r="F237" s="2">
        <f>Inputs!$E$2*C237+Inputs!$F$2*D237</f>
        <v>0.013033861958432001</v>
      </c>
      <c r="G237" s="2">
        <f>Inputs!$E$3*C237+Inputs!$F$3*D237</f>
        <v>-0.011052120820083298</v>
      </c>
      <c r="H237" s="2">
        <f>F237^2</f>
        <v>0.00016988155755146087</v>
      </c>
      <c r="I237" s="2">
        <f>G237^2</f>
        <v>0.0001221493746217187</v>
      </c>
      <c r="J237" s="2">
        <f>LN(1+F237+E237)</f>
        <v>0.012977782188319452</v>
      </c>
      <c r="K237" s="2">
        <f>LN(1+G237+E237)</f>
        <v>-0.01108483409310538</v>
      </c>
      <c r="L237" s="2">
        <f>LN(1+E237)</f>
        <v>2.8496716585700174e-05</v>
      </c>
      <c r="M237" s="2">
        <f>LN(1+C237+E237)</f>
        <v>0.019376318312443713</v>
      </c>
      <c r="N237" s="2">
        <f>LN(1+D237+E237)</f>
        <v>-0.00430667388515035</v>
      </c>
      <c r="O237" s="2">
        <f>LN(1+C237+E237+Inputs!$B$7/Inputs!$B$9)</f>
        <v>0.019386048524985506</v>
      </c>
      <c r="P237" s="2">
        <f>LN(1+D237+E237+Inputs!$B$8/Inputs!$B$9)</f>
        <v>-0.00430667388515035</v>
      </c>
      <c r="Q237" s="2">
        <f>LN(1+E237+Inputs!$B$6/Inputs!$B$9)</f>
        <v>4.8337224199876405e-05</v>
      </c>
    </row>
    <row r="238" spans="1:17">
      <c r="A238" s="3">
        <v>42712</v>
      </c>
      <c r="B238" t="s">
        <v>52</v>
      </c>
      <c r="C238" s="2">
        <v>-0.006510456027496639</v>
      </c>
      <c r="D238" s="2">
        <v>-0.001520552227794498</v>
      </c>
      <c r="E238" s="2">
        <v>2.857617150445836E-05</v>
      </c>
      <c r="F238" s="2">
        <f>Inputs!$E$2*C238+Inputs!$F$2*D238</f>
        <v>-0.006120696158674</v>
      </c>
      <c r="G238" s="2">
        <f>Inputs!$E$3*C238+Inputs!$F$3*D238</f>
        <v>0.00012847413489630003</v>
      </c>
      <c r="H238" s="2">
        <f>F238^2</f>
        <v>3.746292146680666e-05</v>
      </c>
      <c r="I238" s="2">
        <f>G238^2</f>
        <v>1.6505603337352697e-08</v>
      </c>
      <c r="J238" s="2">
        <f>LN(1+F238+E238)</f>
        <v>-0.006110752663683533</v>
      </c>
      <c r="K238" s="2">
        <f>LN(1+G238+E238)</f>
        <v>0.0001570379752920239</v>
      </c>
      <c r="L238" s="2">
        <f>LN(1+E238)</f>
        <v>2.8575763212969396e-05</v>
      </c>
      <c r="M238" s="2">
        <f>LN(1+C238+E238)</f>
        <v>-0.006502978461060589</v>
      </c>
      <c r="N238" s="2">
        <f>LN(1+D238+E238)</f>
        <v>-0.0014930901608490765</v>
      </c>
      <c r="O238" s="2">
        <f>LN(1+C238+E238+Inputs!$B$7/Inputs!$B$9)</f>
        <v>-0.006492993152097114</v>
      </c>
      <c r="P238" s="2">
        <f>LN(1+D238+E238+Inputs!$B$8/Inputs!$B$9)</f>
        <v>-0.0014930901608490765</v>
      </c>
      <c r="Q238" s="2">
        <f>LN(1+E238+Inputs!$B$6/Inputs!$B$9)</f>
        <v>4.841626925883603e-05</v>
      </c>
    </row>
    <row r="239" spans="1:17">
      <c r="A239" s="3">
        <v>42713</v>
      </c>
      <c r="B239" t="s">
        <v>52</v>
      </c>
      <c r="C239" s="2">
        <v>0.001011951162004765</v>
      </c>
      <c r="D239" s="2">
        <v>0.002485118949001431</v>
      </c>
      <c r="E239" s="2">
        <v>2.865522038828812E-05</v>
      </c>
      <c r="F239" s="2">
        <f>Inputs!$E$2*C239+Inputs!$F$2*D239</f>
        <v>0.0023006322990046</v>
      </c>
      <c r="G239" s="2">
        <f>Inputs!$E$3*C239+Inputs!$F$3*D239</f>
        <v>0.0026785573901996996</v>
      </c>
      <c r="H239" s="2">
        <f>F239^2</f>
        <v>5.292908975223191e-06</v>
      </c>
      <c r="I239" s="2">
        <f>G239^2</f>
        <v>7.174669692593426e-06</v>
      </c>
      <c r="J239" s="2">
        <f>LN(1+F239+E239)</f>
        <v>0.0023265789344520844</v>
      </c>
      <c r="K239" s="2">
        <f>LN(1+G239+E239)</f>
        <v>0.002703554710849326</v>
      </c>
      <c r="L239" s="2">
        <f>LN(1+E239)</f>
        <v>2.865480983510044e-05</v>
      </c>
      <c r="M239" s="2">
        <f>LN(1+C239+E239)</f>
        <v>0.0010400653268895868</v>
      </c>
      <c r="N239" s="2">
        <f>LN(1+D239+E239)</f>
        <v>0.0025106199240361674</v>
      </c>
      <c r="O239" s="2">
        <f>LN(1+C239+E239+Inputs!$B$7/Inputs!$B$9)</f>
        <v>0.0010499755999588286</v>
      </c>
      <c r="P239" s="2">
        <f>LN(1+D239+E239+Inputs!$B$8/Inputs!$B$9)</f>
        <v>0.0025106199240361674</v>
      </c>
      <c r="Q239" s="2">
        <f>LN(1+E239+Inputs!$B$6/Inputs!$B$9)</f>
        <v>4.849531431265771e-05</v>
      </c>
    </row>
    <row r="240" spans="1:17">
      <c r="A240" s="3">
        <v>42716</v>
      </c>
      <c r="B240" t="s">
        <v>52</v>
      </c>
      <c r="C240" s="2">
        <v>0.005687003748808151</v>
      </c>
      <c r="D240" s="2">
        <v>0.007947703465826612</v>
      </c>
      <c r="E240" s="2">
        <v>2.873426927211788E-05</v>
      </c>
      <c r="F240" s="2">
        <f>Inputs!$E$2*C240+Inputs!$F$2*D240</f>
        <v>0.0093182250785426</v>
      </c>
      <c r="G240" s="2">
        <f>Inputs!$E$3*C240+Inputs!$F$3*D240</f>
        <v>0.00783114303435</v>
      </c>
      <c r="H240" s="2">
        <f>F240^2</f>
        <v>8.682931861438026e-05</v>
      </c>
      <c r="I240" s="2">
        <f>G240^2</f>
        <v>6.132680122444854e-05</v>
      </c>
      <c r="J240" s="2">
        <f>LN(1+F240+E240)</f>
        <v>0.009303546830315635</v>
      </c>
      <c r="K240" s="2">
        <f>LN(1+G240+E240)</f>
        <v>0.007829149374820236</v>
      </c>
      <c r="L240" s="2">
        <f>LN(1+E240)</f>
        <v>2.8733856450761077e-05</v>
      </c>
      <c r="M240" s="2">
        <f>LN(1+C240+E240)</f>
        <v>0.0056994651656631645</v>
      </c>
      <c r="N240" s="2">
        <f>LN(1+D240+E240)</f>
        <v>0.00794479411317259</v>
      </c>
      <c r="O240" s="2">
        <f>LN(1+C240+E240+Inputs!$B$7/Inputs!$B$9)</f>
        <v>0.005709329370444042</v>
      </c>
      <c r="P240" s="2">
        <f>LN(1+D240+E240+Inputs!$B$8/Inputs!$B$9)</f>
        <v>0.00794479411317259</v>
      </c>
      <c r="Q240" s="2">
        <f>LN(1+E240+Inputs!$B$6/Inputs!$B$9)</f>
        <v>4.857435936000924e-05</v>
      </c>
    </row>
    <row r="241" spans="1:17">
      <c r="A241" s="3">
        <v>42717</v>
      </c>
      <c r="B241" t="s">
        <v>52</v>
      </c>
      <c r="C241" s="2">
        <v>0.009592140933953957</v>
      </c>
      <c r="D241" s="2">
        <v>0.005319998072211566</v>
      </c>
      <c r="E241" s="2">
        <v>2.881331815594764E-05</v>
      </c>
      <c r="F241" s="2">
        <f>Inputs!$E$2*C241+Inputs!$F$2*D241</f>
        <v>0.0108657115904904</v>
      </c>
      <c r="G241" s="2">
        <f>Inputs!$E$3*C241+Inputs!$F$3*D241</f>
        <v>0.0035063554064682</v>
      </c>
      <c r="H241" s="2">
        <f>F241^2</f>
        <v>0.00011806368836771741</v>
      </c>
      <c r="I241" s="2">
        <f>G241^2</f>
        <v>1.2294528236468775e-05</v>
      </c>
      <c r="J241" s="2">
        <f>LN(1+F241+E241)</f>
        <v>0.010835607106868579</v>
      </c>
      <c r="K241" s="2">
        <f>LN(1+G241+E241)</f>
        <v>0.0035289347035592773</v>
      </c>
      <c r="L241" s="2">
        <f>LN(1+E241)</f>
        <v>2.8812903060395385e-05</v>
      </c>
      <c r="M241" s="2">
        <f>LN(1+C241+E241)</f>
        <v>0.009574967593500641</v>
      </c>
      <c r="N241" s="2">
        <f>LN(1+D241+E241)</f>
        <v>0.005334557304409993</v>
      </c>
      <c r="O241" s="2">
        <f>LN(1+C241+E241+Inputs!$B$7/Inputs!$B$9)</f>
        <v>0.009584793643701598</v>
      </c>
      <c r="P241" s="2">
        <f>LN(1+D241+E241+Inputs!$B$8/Inputs!$B$9)</f>
        <v>0.005334557304409993</v>
      </c>
      <c r="Q241" s="2">
        <f>LN(1+E241+Inputs!$B$6/Inputs!$B$9)</f>
        <v>4.865340440133468e-05</v>
      </c>
    </row>
    <row r="242" spans="1:17">
      <c r="A242" s="3">
        <v>42718</v>
      </c>
      <c r="B242" t="s">
        <v>52</v>
      </c>
      <c r="C242" s="2">
        <v>0.0005017555578476871</v>
      </c>
      <c r="D242" s="2">
        <v>-0.001449916935809894</v>
      </c>
      <c r="E242" s="2">
        <v>2.88923670397774E-05</v>
      </c>
      <c r="F242" s="2">
        <f>Inputs!$E$2*C242+Inputs!$F$2*D242</f>
        <v>-0.00046854571520759986</v>
      </c>
      <c r="G242" s="2">
        <f>Inputs!$E$3*C242+Inputs!$F$3*D242</f>
        <v>-0.0018904269903263998</v>
      </c>
      <c r="H242" s="2">
        <f>F242^2</f>
        <v>2.1953508723940127e-07</v>
      </c>
      <c r="I242" s="2">
        <f>G242^2</f>
        <v>3.57371420575453e-06</v>
      </c>
      <c r="J242" s="2">
        <f>LN(1+F242+E242)</f>
        <v>-0.00043975002403787497</v>
      </c>
      <c r="K242" s="2">
        <f>LN(1+G242+E242)</f>
        <v>-0.001863269432135405</v>
      </c>
      <c r="L242" s="2">
        <f>LN(1+E242)</f>
        <v>2.889194966355929e-05</v>
      </c>
      <c r="M242" s="2">
        <f>LN(1+C242+E242)</f>
        <v>0.0005305071810658668</v>
      </c>
      <c r="N242" s="2">
        <f>LN(1+D242+E242)</f>
        <v>-0.0014220351816998772</v>
      </c>
      <c r="O242" s="2">
        <f>LN(1+C242+E242+Inputs!$B$7/Inputs!$B$9)</f>
        <v>0.0005404225052572537</v>
      </c>
      <c r="P242" s="2">
        <f>LN(1+D242+E242+Inputs!$B$8/Inputs!$B$9)</f>
        <v>-0.0014220351816998772</v>
      </c>
      <c r="Q242" s="2">
        <f>LN(1+E242+Inputs!$B$6/Inputs!$B$9)</f>
        <v>4.873244943618997e-05</v>
      </c>
    </row>
    <row r="243" spans="1:17">
      <c r="A243" s="3">
        <v>42719</v>
      </c>
      <c r="B243" t="s">
        <v>52</v>
      </c>
      <c r="C243" s="2">
        <v>-0.0108920448497004</v>
      </c>
      <c r="D243" s="2">
        <v>0.008133217206811578</v>
      </c>
      <c r="E243" s="2">
        <v>2.897141592360716E-05</v>
      </c>
      <c r="F243" s="2">
        <f>Inputs!$E$2*C243+Inputs!$F$2*D243</f>
        <v>-0.0038337055556728</v>
      </c>
      <c r="G243" s="2">
        <f>Inputs!$E$3*C243+Inputs!$F$3*D243</f>
        <v>0.0130274741030844</v>
      </c>
      <c r="H243" s="2">
        <f>F243^2</f>
        <v>1.4697298287596493e-05</v>
      </c>
      <c r="I243" s="2">
        <f>G243^2</f>
        <v>0.00016971508150653467</v>
      </c>
      <c r="J243" s="2">
        <f>LN(1+F243+E243)</f>
        <v>-0.0038119905523473557</v>
      </c>
      <c r="K243" s="2">
        <f>LN(1+G243+E243)</f>
        <v>0.01297194485831582</v>
      </c>
      <c r="L243" s="2">
        <f>LN(1+E243)</f>
        <v>2.897099626069687e-05</v>
      </c>
      <c r="M243" s="2">
        <f>LN(1+C243+E243)</f>
        <v>-0.010922507431830684</v>
      </c>
      <c r="N243" s="2">
        <f>LN(1+D243+E243)</f>
        <v>0.008129058117377687</v>
      </c>
      <c r="O243" s="2">
        <f>LN(1+C243+E243+Inputs!$B$7/Inputs!$B$9)</f>
        <v>-0.010912477895065229</v>
      </c>
      <c r="P243" s="2">
        <f>LN(1+D243+E243+Inputs!$B$8/Inputs!$B$9)</f>
        <v>0.008129058117377687</v>
      </c>
      <c r="Q243" s="2">
        <f>LN(1+E243+Inputs!$B$6/Inputs!$B$9)</f>
        <v>4.881149446501917e-05</v>
      </c>
    </row>
    <row r="244" spans="1:17">
      <c r="A244" s="3">
        <v>42720</v>
      </c>
      <c r="B244" t="s">
        <v>52</v>
      </c>
      <c r="C244" s="2">
        <v>0.007819718712196758</v>
      </c>
      <c r="D244" s="2">
        <v>-0.002091656278425999</v>
      </c>
      <c r="E244" s="2">
        <v>2.905046480743692E-05</v>
      </c>
      <c r="F244" s="2">
        <f>Inputs!$E$2*C244+Inputs!$F$2*D244</f>
        <v>0.005000781202702001</v>
      </c>
      <c r="G244" s="2">
        <f>Inputs!$E$3*C244+Inputs!$F$3*D244</f>
        <v>-0.0048559031477703</v>
      </c>
      <c r="H244" s="2">
        <f>F244^2</f>
        <v>2.5007812637297673e-05</v>
      </c>
      <c r="I244" s="2">
        <f>G244^2</f>
        <v>2.357979538052551e-05</v>
      </c>
      <c r="J244" s="2">
        <f>LN(1+F244+E244)</f>
        <v>0.005017224321752858</v>
      </c>
      <c r="K244" s="2">
        <f>LN(1+G244+E244)</f>
        <v>-0.004838539558759494</v>
      </c>
      <c r="L244" s="2">
        <f>LN(1+E244)</f>
        <v>2.9050042850475892e-05</v>
      </c>
      <c r="M244" s="2">
        <f>LN(1+C244+E244)</f>
        <v>0.007818127815094954</v>
      </c>
      <c r="N244" s="2">
        <f>LN(1+D244+E244)</f>
        <v>-0.0020647359145332723</v>
      </c>
      <c r="O244" s="2">
        <f>LN(1+C244+E244+Inputs!$B$7/Inputs!$B$9)</f>
        <v>0.0078279711431796</v>
      </c>
      <c r="P244" s="2">
        <f>LN(1+D244+E244+Inputs!$B$8/Inputs!$B$9)</f>
        <v>-0.0020647359145332723</v>
      </c>
      <c r="Q244" s="2">
        <f>LN(1+E244+Inputs!$B$6/Inputs!$B$9)</f>
        <v>4.8890539486490096e-05</v>
      </c>
    </row>
    <row r="245" spans="1:17">
      <c r="A245" s="3">
        <v>42723</v>
      </c>
      <c r="B245" t="s">
        <v>52</v>
      </c>
      <c r="C245" s="2">
        <v>0.006294854052494533</v>
      </c>
      <c r="D245" s="2">
        <v>-0.009231065215883219</v>
      </c>
      <c r="E245" s="2">
        <v>2.912951369126668E-05</v>
      </c>
      <c r="F245" s="2">
        <f>Inputs!$E$2*C245+Inputs!$F$2*D245</f>
        <v>-0.0005027558875338005</v>
      </c>
      <c r="G245" s="2">
        <f>Inputs!$E$3*C245+Inputs!$F$3*D245</f>
        <v>-0.0129657344748081</v>
      </c>
      <c r="H245" s="2">
        <f>F245^2</f>
        <v>2.5276348244989946e-07</v>
      </c>
      <c r="I245" s="2">
        <f>G245^2</f>
        <v>0.0001681102704712273</v>
      </c>
      <c r="J245" s="2">
        <f>LN(1+F245+E245)</f>
        <v>-0.0004737385702412532</v>
      </c>
      <c r="K245" s="2">
        <f>LN(1+G245+E245)</f>
        <v>-0.01302101158205209</v>
      </c>
      <c r="L245" s="2">
        <f>LN(1+E245)</f>
        <v>2.9129089434894706e-05</v>
      </c>
      <c r="M245" s="2">
        <f>LN(1+C245+E245)</f>
        <v>0.006304071088806351</v>
      </c>
      <c r="N245" s="2">
        <f>LN(1+D245+E245)</f>
        <v>-0.009244535044852257</v>
      </c>
      <c r="O245" s="2">
        <f>LN(1+C245+E245+Inputs!$B$7/Inputs!$B$9)</f>
        <v>0.0063139293314625365</v>
      </c>
      <c r="P245" s="2">
        <f>LN(1+D245+E245+Inputs!$B$8/Inputs!$B$9)</f>
        <v>-0.009244535044852257</v>
      </c>
      <c r="Q245" s="2">
        <f>LN(1+E245+Inputs!$B$6/Inputs!$B$9)</f>
        <v>4.8969584502601035e-05</v>
      </c>
    </row>
    <row r="246" spans="1:17">
      <c r="A246" s="3">
        <v>42724</v>
      </c>
      <c r="B246" t="s">
        <v>52</v>
      </c>
      <c r="C246" s="2">
        <v>-0.01285764220000192</v>
      </c>
      <c r="D246" s="2">
        <v>0.01081941874717037</v>
      </c>
      <c r="E246" s="2">
        <v>2.920856257509644E-05</v>
      </c>
      <c r="F246" s="2">
        <f>Inputs!$E$2*C246+Inputs!$F$2*D246</f>
        <v>-0.0037944625116996013</v>
      </c>
      <c r="G246" s="2">
        <f>Inputs!$E$3*C246+Inputs!$F$3*D246</f>
        <v>0.0168405951566046</v>
      </c>
      <c r="H246" s="2">
        <f>F246^2</f>
        <v>1.4397945752693646e-05</v>
      </c>
      <c r="I246" s="2">
        <f>G246^2</f>
        <v>0.00028360564522865434</v>
      </c>
      <c r="J246" s="2">
        <f>LN(1+F246+E246)</f>
        <v>-0.0037723603616822664</v>
      </c>
      <c r="K246" s="2">
        <f>LN(1+G246+E246)</f>
        <v>0.016729088929361143</v>
      </c>
      <c r="L246" s="2">
        <f>LN(1+E246)</f>
        <v>2.9208136013287193e-05</v>
      </c>
      <c r="M246" s="2">
        <f>LN(1+C246+E246)</f>
        <v>-0.012911428552764045</v>
      </c>
      <c r="N246" s="2">
        <f>LN(1+D246+E246)</f>
        <v>0.010790203120848867</v>
      </c>
      <c r="O246" s="2">
        <f>LN(1+C246+E246+Inputs!$B$7/Inputs!$B$9)</f>
        <v>-0.012901379048290803</v>
      </c>
      <c r="P246" s="2">
        <f>LN(1+D246+E246+Inputs!$B$8/Inputs!$B$9)</f>
        <v>0.010790203120848867</v>
      </c>
      <c r="Q246" s="2">
        <f>LN(1+E246+Inputs!$B$6/Inputs!$B$9)</f>
        <v>4.90486295126859e-05</v>
      </c>
    </row>
    <row r="247" spans="1:17">
      <c r="A247" s="3">
        <v>42725</v>
      </c>
      <c r="B247" t="s">
        <v>52</v>
      </c>
      <c r="C247" s="2">
        <v>-0.003571943691273768</v>
      </c>
      <c r="D247" s="2">
        <v>0.0006146980844112932</v>
      </c>
      <c r="E247" s="2">
        <v>2.92876114589262E-05</v>
      </c>
      <c r="F247" s="2">
        <f>Inputs!$E$2*C247+Inputs!$F$2*D247</f>
        <v>-0.0024887361023726</v>
      </c>
      <c r="G247" s="2">
        <f>Inputs!$E$3*C247+Inputs!$F$3*D247</f>
        <v>0.0018092208086754</v>
      </c>
      <c r="H247" s="2">
        <f>F247^2</f>
        <v>6.193807387252761e-06</v>
      </c>
      <c r="I247" s="2">
        <f>G247^2</f>
        <v>3.2732799345440682e-06</v>
      </c>
      <c r="J247" s="2">
        <f>LN(1+F247+E247)</f>
        <v>-0.0024624779024937644</v>
      </c>
      <c r="K247" s="2">
        <f>LN(1+G247+E247)</f>
        <v>0.0018368204321322057</v>
      </c>
      <c r="L247" s="2">
        <f>LN(1+E247)</f>
        <v>2.9287182585209284e-05</v>
      </c>
      <c r="M247" s="2">
        <f>LN(1+C247+E247)</f>
        <v>-0.0035489461459529445</v>
      </c>
      <c r="N247" s="2">
        <f>LN(1+D247+E247)</f>
        <v>0.0006437784260628305</v>
      </c>
      <c r="O247" s="2">
        <f>LN(1+C247+E247+Inputs!$B$7/Inputs!$B$9)</f>
        <v>-0.003538990290243641</v>
      </c>
      <c r="P247" s="2">
        <f>LN(1+D247+E247+Inputs!$B$8/Inputs!$B$9)</f>
        <v>0.0006437784260628305</v>
      </c>
      <c r="Q247" s="2">
        <f>LN(1+E247+Inputs!$B$6/Inputs!$B$9)</f>
        <v>4.912767451630061e-05</v>
      </c>
    </row>
    <row r="248" spans="1:17">
      <c r="A248" s="3">
        <v>42726</v>
      </c>
      <c r="B248" t="s">
        <v>52</v>
      </c>
      <c r="C248" s="2">
        <v>0.002758195743719531</v>
      </c>
      <c r="D248" s="2">
        <v>-0.002611112662861107</v>
      </c>
      <c r="E248" s="2">
        <v>2.936666034275596E-05</v>
      </c>
      <c r="F248" s="2">
        <f>Inputs!$E$2*C248+Inputs!$F$2*D248</f>
        <v>0.0006398889972594</v>
      </c>
      <c r="G248" s="2">
        <f>Inputs!$E$3*C248+Inputs!$F$3*D248</f>
        <v>-0.0039607939185492</v>
      </c>
      <c r="H248" s="2">
        <f>F248^2</f>
        <v>4.094579288136404e-07</v>
      </c>
      <c r="I248" s="2">
        <f>G248^2</f>
        <v>1.5687888465216326e-05</v>
      </c>
      <c r="J248" s="2">
        <f>LN(1+F248+E248)</f>
        <v>0.0006690318059052774</v>
      </c>
      <c r="K248" s="2">
        <f>LN(1+G248+E248)</f>
        <v>-0.003939175633131684</v>
      </c>
      <c r="L248" s="2">
        <f>LN(1+E248)</f>
        <v>2.9366229151105053e-05</v>
      </c>
      <c r="M248" s="2">
        <f>LN(1+C248+E248)</f>
        <v>0.0027836843571781822</v>
      </c>
      <c r="N248" s="2">
        <f>LN(1+D248+E248)</f>
        <v>-0.0025850844559925632</v>
      </c>
      <c r="O248" s="2">
        <f>LN(1+C248+E248+Inputs!$B$7/Inputs!$B$9)</f>
        <v>0.002793577365647995</v>
      </c>
      <c r="P248" s="2">
        <f>LN(1+D248+E248+Inputs!$B$8/Inputs!$B$9)</f>
        <v>-0.0025850844559925632</v>
      </c>
      <c r="Q248" s="2">
        <f>LN(1+E248+Inputs!$B$6/Inputs!$B$9)</f>
        <v>4.920671951388925e-05</v>
      </c>
    </row>
    <row r="249" spans="1:17">
      <c r="A249" s="3">
        <v>42727</v>
      </c>
      <c r="B249" t="s">
        <v>52</v>
      </c>
      <c r="C249" s="2">
        <v>0.0001108671908114526</v>
      </c>
      <c r="D249" s="2">
        <v>-0.007388017513339092</v>
      </c>
      <c r="E249" s="2">
        <v>2.944570922658572E-05</v>
      </c>
      <c r="F249" s="2">
        <f>Inputs!$E$2*C249+Inputs!$F$2*D249</f>
        <v>-0.0043441167553545995</v>
      </c>
      <c r="G249" s="2">
        <f>Inputs!$E$3*C249+Inputs!$F$3*D249</f>
        <v>-0.0088988811732501</v>
      </c>
      <c r="H249" s="2">
        <f>F249^2</f>
        <v>1.8871350384152573e-05</v>
      </c>
      <c r="I249" s="2">
        <f>G249^2</f>
        <v>7.919008613562506e-05</v>
      </c>
      <c r="J249" s="2">
        <f>LN(1+F249+E249)</f>
        <v>-0.004324006100715904</v>
      </c>
      <c r="K249" s="2">
        <f>LN(1+G249+E249)</f>
        <v>-0.008909003041882005</v>
      </c>
      <c r="L249" s="2">
        <f>LN(1+E249)</f>
        <v>2.9445275710530422e-05</v>
      </c>
      <c r="M249" s="2">
        <f>LN(1+C249+E249)</f>
        <v>0.00014030305710366667</v>
      </c>
      <c r="N249" s="2">
        <f>LN(1+D249+E249)</f>
        <v>-0.0073857796497045535</v>
      </c>
      <c r="O249" s="2">
        <f>LN(1+C249+E249+Inputs!$B$7/Inputs!$B$9)</f>
        <v>0.00015022225103119937</v>
      </c>
      <c r="P249" s="2">
        <f>LN(1+D249+E249+Inputs!$B$8/Inputs!$B$9)</f>
        <v>-0.0073857796497045535</v>
      </c>
      <c r="Q249" s="2">
        <f>LN(1+E249+Inputs!$B$6/Inputs!$B$9)</f>
        <v>4.9285764505007735e-05</v>
      </c>
    </row>
    <row r="250" spans="1:17">
      <c r="A250" s="3">
        <v>42731</v>
      </c>
      <c r="B250" t="s">
        <v>52</v>
      </c>
      <c r="C250" s="2">
        <v>0.004878643807998402</v>
      </c>
      <c r="D250" s="2">
        <v>-0.00237019213715971</v>
      </c>
      <c r="E250" s="2">
        <v>2.952475811041549E-05</v>
      </c>
      <c r="F250" s="2">
        <f>Inputs!$E$2*C250+Inputs!$F$2*D250</f>
        <v>0.002480799764102401</v>
      </c>
      <c r="G250" s="2">
        <f>Inputs!$E$3*C250+Inputs!$F$3*D250</f>
        <v>-0.0043078237069914</v>
      </c>
      <c r="H250" s="2">
        <f>F250^2</f>
        <v>6.154367469570528e-06</v>
      </c>
      <c r="I250" s="2">
        <f>G250^2</f>
        <v>1.8557345090517128e-05</v>
      </c>
      <c r="J250" s="2">
        <f>LN(1+F250+E250)</f>
        <v>0.002507178920829218</v>
      </c>
      <c r="K250" s="2">
        <f>LN(1+G250+E250)</f>
        <v>-0.004287477056977301</v>
      </c>
      <c r="L250" s="2">
        <f>LN(1+E250)</f>
        <v>2.9524322262819285e-05</v>
      </c>
      <c r="M250" s="2">
        <f>LN(1+C250+E250)</f>
        <v>0.004896162775042851</v>
      </c>
      <c r="N250" s="2">
        <f>LN(1+D250+E250)</f>
        <v>-0.0023434110230812323</v>
      </c>
      <c r="O250" s="2">
        <f>LN(1+C250+E250+Inputs!$B$7/Inputs!$B$9)</f>
        <v>0.004906034906907394</v>
      </c>
      <c r="P250" s="2">
        <f>LN(1+D250+E250+Inputs!$B$8/Inputs!$B$9)</f>
        <v>-0.0023434110230812323</v>
      </c>
      <c r="Q250" s="2">
        <f>LN(1+E250+Inputs!$B$6/Inputs!$B$9)</f>
        <v>4.936480948898998e-05</v>
      </c>
    </row>
    <row r="251" spans="1:17">
      <c r="A251" s="3">
        <v>42732</v>
      </c>
      <c r="B251" t="s">
        <v>52</v>
      </c>
      <c r="C251" s="2">
        <v>0.007137262470617182</v>
      </c>
      <c r="D251" s="2">
        <v>0.01141876507960328</v>
      </c>
      <c r="E251" s="2">
        <v>2.960380699424525E-05</v>
      </c>
      <c r="F251" s="2">
        <f>Inputs!$E$2*C251+Inputs!$F$2*D251</f>
        <v>0.0125610690242554</v>
      </c>
      <c r="G251" s="2">
        <f>Inputs!$E$3*C251+Inputs!$F$3*D251</f>
        <v>0.0115613393543385</v>
      </c>
      <c r="H251" s="2">
        <f>F251^2</f>
        <v>0.00015778045503210853</v>
      </c>
      <c r="I251" s="2">
        <f>G251^2</f>
        <v>0.00013366456766617616</v>
      </c>
      <c r="J251" s="2">
        <f>LN(1+F251+E251)</f>
        <v>0.012512069402469333</v>
      </c>
      <c r="K251" s="2">
        <f>LN(1+G251+E251)</f>
        <v>0.011524282789542416</v>
      </c>
      <c r="L251" s="2">
        <f>LN(1+E251)</f>
        <v>2.9603368809969978e-05</v>
      </c>
      <c r="M251" s="2">
        <f>LN(1+C251+E251)</f>
        <v>0.0071413063419253344</v>
      </c>
      <c r="N251" s="2">
        <f>LN(1+D251+E251)</f>
        <v>0.011383332216686423</v>
      </c>
      <c r="O251" s="2">
        <f>LN(1+C251+E251+Inputs!$B$7/Inputs!$B$9)</f>
        <v>0.007151156334408034</v>
      </c>
      <c r="P251" s="2">
        <f>LN(1+D251+E251+Inputs!$B$8/Inputs!$B$9)</f>
        <v>0.011383332216686423</v>
      </c>
      <c r="Q251" s="2">
        <f>LN(1+E251+Inputs!$B$6/Inputs!$B$9)</f>
        <v>4.9443854467834285e-05</v>
      </c>
    </row>
    <row r="252" spans="1:17">
      <c r="A252" s="3">
        <v>42733</v>
      </c>
      <c r="B252" t="s">
        <v>52</v>
      </c>
      <c r="C252" s="2">
        <v>0.004847102265032647</v>
      </c>
      <c r="D252" s="2">
        <v>0.0002125146693242853</v>
      </c>
      <c r="E252" s="2">
        <v>2.9682855878075E-05</v>
      </c>
      <c r="F252" s="2">
        <f>Inputs!$E$2*C252+Inputs!$F$2*D252</f>
        <v>0.0040051906136208005</v>
      </c>
      <c r="G252" s="2">
        <f>Inputs!$E$3*C252+Inputs!$F$3*D252</f>
        <v>-0.0011991130763211</v>
      </c>
      <c r="H252" s="2">
        <f>F252^2</f>
        <v>1.6041551851436165e-05</v>
      </c>
      <c r="I252" s="2">
        <f>G252^2</f>
        <v>1.437872169804252e-06</v>
      </c>
      <c r="J252" s="2">
        <f>LN(1+F252+E252)</f>
        <v>0.0040267551976806955</v>
      </c>
      <c r="K252" s="2">
        <f>LN(1+G252+E252)</f>
        <v>-0.0011701145375227842</v>
      </c>
      <c r="L252" s="2">
        <f>LN(1+E252)</f>
        <v>2.9682415350650278e-05</v>
      </c>
      <c r="M252" s="2">
        <f>LN(1+C252+E252)</f>
        <v>0.004864932125075033</v>
      </c>
      <c r="N252" s="2">
        <f>LN(1+D252+E252)</f>
        <v>0.00024216820011609897</v>
      </c>
      <c r="O252" s="2">
        <f>LN(1+C252+E252+Inputs!$B$7/Inputs!$B$9)</f>
        <v>0.0048748045652559635</v>
      </c>
      <c r="P252" s="2">
        <f>LN(1+D252+E252+Inputs!$B$8/Inputs!$B$9)</f>
        <v>0.00024216820011609897</v>
      </c>
      <c r="Q252" s="2">
        <f>LN(1+E252+Inputs!$B$6/Inputs!$B$9)</f>
        <v>4.952289944020845e-05</v>
      </c>
    </row>
    <row r="253" spans="1:17">
      <c r="A253" s="3">
        <v>42734</v>
      </c>
      <c r="B253" t="s">
        <v>52</v>
      </c>
      <c r="C253" s="2">
        <v>-0.0008297064746516785</v>
      </c>
      <c r="D253" s="2">
        <v>0.01548014071549642</v>
      </c>
      <c r="E253" s="2">
        <v>2.976190476190476E-05</v>
      </c>
      <c r="F253" s="2">
        <f>Inputs!$E$2*C253+Inputs!$F$2*D253</f>
        <v>0.008624319249575999</v>
      </c>
      <c r="G253" s="2">
        <f>Inputs!$E$3*C253+Inputs!$F$3*D253</f>
        <v>0.0188250808009908</v>
      </c>
      <c r="H253" s="2">
        <f>F253^2</f>
        <v>7.437888251860711e-05</v>
      </c>
      <c r="I253" s="2">
        <f>G253^2</f>
        <v>0.00035438366716383237</v>
      </c>
      <c r="J253" s="2">
        <f>LN(1+F253+E253)</f>
        <v>0.008616849245133479</v>
      </c>
      <c r="K253" s="2">
        <f>LN(1+G253+E253)</f>
        <v>0.018679293363148736</v>
      </c>
      <c r="L253" s="2">
        <f>LN(1+E253)</f>
        <v>2.976146188530426e-05</v>
      </c>
      <c r="M253" s="2">
        <f>LN(1+C253+E253)</f>
        <v>-0.0008002646962810447</v>
      </c>
      <c r="N253" s="2">
        <f>LN(1+D253+E253)</f>
        <v>0.015390853463192364</v>
      </c>
      <c r="O253" s="2">
        <f>LN(1+C253+E253+Inputs!$B$7/Inputs!$B$9)</f>
        <v>-0.0007903361683369297</v>
      </c>
      <c r="P253" s="2">
        <f>LN(1+D253+E253+Inputs!$B$8/Inputs!$B$9)</f>
        <v>0.015390853463192364</v>
      </c>
      <c r="Q253" s="2">
        <f>LN(1+E253+Inputs!$B$6/Inputs!$B$9)</f>
        <v>4.960194440655654e-05</v>
      </c>
    </row>
    <row r="254" spans="1:17">
      <c r="A254" s="3">
        <v>42738</v>
      </c>
      <c r="B254" t="s">
        <v>53</v>
      </c>
      <c r="C254" s="2">
        <v>-0.01086279810175092</v>
      </c>
      <c r="D254" s="2">
        <v>0.0009475814774760829</v>
      </c>
      <c r="E254" s="2">
        <v>2.984095364573452E-05</v>
      </c>
      <c r="F254" s="2">
        <f>Inputs!$E$2*C254+Inputs!$F$2*D254</f>
        <v>-0.0081216895949152</v>
      </c>
      <c r="G254" s="2">
        <f>Inputs!$E$3*C254+Inputs!$F$3*D254</f>
        <v>0.0043959372034965</v>
      </c>
      <c r="H254" s="2">
        <f>F254^2</f>
        <v>6.596184187615383e-05</v>
      </c>
      <c r="I254" s="2">
        <f>G254^2</f>
        <v>1.932426389708463e-05</v>
      </c>
      <c r="J254" s="2">
        <f>LN(1+F254+E254)</f>
        <v>-0.008124765340041456</v>
      </c>
      <c r="K254" s="2">
        <f>LN(1+G254+E254)</f>
        <v>0.004416013202076562</v>
      </c>
      <c r="L254" s="2">
        <f>LN(1+E254)</f>
        <v>2.9840508413709887e-05</v>
      </c>
      <c r="M254" s="2">
        <f>LN(1+C254+E254)</f>
        <v>-0.010892060861294559</v>
      </c>
      <c r="N254" s="2">
        <f>LN(1+D254+E254)</f>
        <v>0.0009769450648513351</v>
      </c>
      <c r="O254" s="2">
        <f>LN(1+C254+E254+Inputs!$B$7/Inputs!$B$9)</f>
        <v>-0.010882031629887922</v>
      </c>
      <c r="P254" s="2">
        <f>LN(1+D254+E254+Inputs!$B$8/Inputs!$B$9)</f>
        <v>0.0009769450648513351</v>
      </c>
      <c r="Q254" s="2">
        <f>LN(1+E254+Inputs!$B$6/Inputs!$B$9)</f>
        <v>4.968098936665652e-05</v>
      </c>
    </row>
    <row r="255" spans="1:17">
      <c r="A255" s="3">
        <v>42739</v>
      </c>
      <c r="B255" t="s">
        <v>53</v>
      </c>
      <c r="C255" s="2">
        <v>0.005355491318648938</v>
      </c>
      <c r="D255" s="2">
        <v>0.009151571742392565</v>
      </c>
      <c r="E255" s="2">
        <v>2.992000252956428E-05</v>
      </c>
      <c r="F255" s="2">
        <f>Inputs!$E$2*C255+Inputs!$F$2*D255</f>
        <v>0.009775336100355001</v>
      </c>
      <c r="G255" s="2">
        <f>Inputs!$E$3*C255+Inputs!$F$3*D255</f>
        <v>0.0093752386952769</v>
      </c>
      <c r="H255" s="2">
        <f>F255^2</f>
        <v>9.555719587490372e-05</v>
      </c>
      <c r="I255" s="2">
        <f>G255^2</f>
        <v>8.78951005934173e-05</v>
      </c>
      <c r="J255" s="2">
        <f>LN(1+F255+E255)</f>
        <v>0.009757496522105641</v>
      </c>
      <c r="K255" s="2">
        <f>LN(1+G255+E255)</f>
        <v>0.009361205568590693</v>
      </c>
      <c r="L255" s="2">
        <f>LN(1+E255)</f>
        <v>2.9919554935645124e-05</v>
      </c>
      <c r="M255" s="2">
        <f>LN(1+C255+E255)</f>
        <v>0.005370961847985762</v>
      </c>
      <c r="N255" s="2">
        <f>LN(1+D255+E255)</f>
        <v>0.009139598085206027</v>
      </c>
      <c r="O255" s="2">
        <f>LN(1+C255+E255+Inputs!$B$7/Inputs!$B$9)</f>
        <v>0.0053808292937069496</v>
      </c>
      <c r="P255" s="2">
        <f>LN(1+D255+E255+Inputs!$B$8/Inputs!$B$9)</f>
        <v>0.009139598085206027</v>
      </c>
      <c r="Q255" s="2">
        <f>LN(1+E255+Inputs!$B$6/Inputs!$B$9)</f>
        <v>4.9760034320286364e-05</v>
      </c>
    </row>
    <row r="256" spans="1:17">
      <c r="A256" s="3">
        <v>42740</v>
      </c>
      <c r="B256" t="s">
        <v>53</v>
      </c>
      <c r="C256" s="2">
        <v>0.01175230462435262</v>
      </c>
      <c r="D256" s="2">
        <v>0.001036118334263459</v>
      </c>
      <c r="E256" s="2">
        <v>2.999905141339405E-05</v>
      </c>
      <c r="F256" s="2">
        <f>Inputs!$E$2*C256+Inputs!$F$2*D256</f>
        <v>0.0100235147000402</v>
      </c>
      <c r="G256" s="2">
        <f>Inputs!$E$3*C256+Inputs!$F$3*D256</f>
        <v>-0.0022823493861902997</v>
      </c>
      <c r="H256" s="2">
        <f>F256^2</f>
        <v>0.00010047084694192198</v>
      </c>
      <c r="I256" s="2">
        <f>G256^2</f>
        <v>5.209118720643238e-06</v>
      </c>
      <c r="J256" s="2">
        <f>LN(1+F256+E256)</f>
        <v>0.010003313361900126</v>
      </c>
      <c r="K256" s="2">
        <f>LN(1+G256+E256)</f>
        <v>-0.0022548906910242754</v>
      </c>
      <c r="L256" s="2">
        <f>LN(1+E256)</f>
        <v>2.9998601450443858e-05</v>
      </c>
      <c r="M256" s="2">
        <f>LN(1+C256+E256)</f>
        <v>0.01171343277984019</v>
      </c>
      <c r="N256" s="2">
        <f>LN(1+D256+E256)</f>
        <v>0.001065549486131938</v>
      </c>
      <c r="O256" s="2">
        <f>LN(1+C256+E256+Inputs!$B$7/Inputs!$B$9)</f>
        <v>0.0117232378399292</v>
      </c>
      <c r="P256" s="2">
        <f>LN(1+D256+E256+Inputs!$B$8/Inputs!$B$9)</f>
        <v>0.001065549486131938</v>
      </c>
      <c r="Q256" s="2">
        <f>LN(1+E256+Inputs!$B$6/Inputs!$B$9)</f>
        <v>4.983907926677997e-05</v>
      </c>
    </row>
    <row r="257" spans="1:17">
      <c r="A257" s="3">
        <v>42741</v>
      </c>
      <c r="B257" t="s">
        <v>53</v>
      </c>
      <c r="C257" s="2">
        <v>0.01717467134134838</v>
      </c>
      <c r="D257" s="2">
        <v>-0.002551479536587551</v>
      </c>
      <c r="E257" s="2">
        <v>3.007810029722381E-05</v>
      </c>
      <c r="F257" s="2">
        <f>Inputs!$E$2*C257+Inputs!$F$2*D257</f>
        <v>0.012208849351125602</v>
      </c>
      <c r="G257" s="2">
        <f>Inputs!$E$3*C257+Inputs!$F$3*D257</f>
        <v>-0.00821417684631</v>
      </c>
      <c r="H257" s="2">
        <f>F257^2</f>
        <v>0.00014905600247848002</v>
      </c>
      <c r="I257" s="2">
        <f>G257^2</f>
        <v>6.74727012624553e-05</v>
      </c>
      <c r="J257" s="2">
        <f>LN(1+F257+E257)</f>
        <v>0.012164637318983519</v>
      </c>
      <c r="K257" s="2">
        <f>LN(1+G257+E257)</f>
        <v>-0.008217772333316336</v>
      </c>
      <c r="L257" s="2">
        <f>LN(1+E257)</f>
        <v>3.007764796010443e-05</v>
      </c>
      <c r="M257" s="2">
        <f>LN(1+C257+E257)</f>
        <v>0.01705842368749222</v>
      </c>
      <c r="N257" s="2">
        <f>LN(1+D257+E257)</f>
        <v>-0.002524585522257844</v>
      </c>
      <c r="O257" s="2">
        <f>LN(1+C257+E257+Inputs!$B$7/Inputs!$B$9)</f>
        <v>0.017068176479689903</v>
      </c>
      <c r="P257" s="2">
        <f>LN(1+D257+E257+Inputs!$B$8/Inputs!$B$9)</f>
        <v>-0.002524585522257844</v>
      </c>
      <c r="Q257" s="2">
        <f>LN(1+E257+Inputs!$B$6/Inputs!$B$9)</f>
        <v>4.9918124208135644e-05</v>
      </c>
    </row>
    <row r="258" spans="1:17">
      <c r="A258" s="3">
        <v>42744</v>
      </c>
      <c r="B258" t="s">
        <v>53</v>
      </c>
      <c r="C258" s="2">
        <v>-0.0001956841273717107</v>
      </c>
      <c r="D258" s="2">
        <v>-0.002236200657386755</v>
      </c>
      <c r="E258" s="2">
        <v>3.015714918105357E-05</v>
      </c>
      <c r="F258" s="2">
        <f>Inputs!$E$2*C258+Inputs!$F$2*D258</f>
        <v>-0.0014982676963298</v>
      </c>
      <c r="G258" s="2">
        <f>Inputs!$E$3*C258+Inputs!$F$3*D258</f>
        <v>-0.0026247355506528003</v>
      </c>
      <c r="H258" s="2">
        <f>F258^2</f>
        <v>2.2448060898654056e-06</v>
      </c>
      <c r="I258" s="2">
        <f>G258^2</f>
        <v>6.889236710860659e-06</v>
      </c>
      <c r="J258" s="2">
        <f>LN(1+F258+E258)</f>
        <v>-0.0014691892773641925</v>
      </c>
      <c r="K258" s="2">
        <f>LN(1+G258+E258)</f>
        <v>-0.0025979501534585123</v>
      </c>
      <c r="L258" s="2">
        <f>LN(1+E258)</f>
        <v>3.0156694463294614e-05</v>
      </c>
      <c r="M258" s="2">
        <f>LN(1+C258+E258)</f>
        <v>-0.00016554067929326518</v>
      </c>
      <c r="N258" s="2">
        <f>LN(1+D258+E258)</f>
        <v>-0.0022084804067819537</v>
      </c>
      <c r="O258" s="2">
        <f>LN(1+C258+E258+Inputs!$B$7/Inputs!$B$9)</f>
        <v>-0.0001556184511934826</v>
      </c>
      <c r="P258" s="2">
        <f>LN(1+D258+E258+Inputs!$B$8/Inputs!$B$9)</f>
        <v>-0.0022084804067819537</v>
      </c>
      <c r="Q258" s="2">
        <f>LN(1+E258+Inputs!$B$6/Inputs!$B$9)</f>
        <v>4.999716914302118e-05</v>
      </c>
    </row>
    <row r="259" spans="1:17">
      <c r="A259" s="3">
        <v>42745</v>
      </c>
      <c r="B259" t="s">
        <v>53</v>
      </c>
      <c r="C259" s="2">
        <v>-0.0002025268199058194</v>
      </c>
      <c r="D259" s="2">
        <v>-0.001056746949432036</v>
      </c>
      <c r="E259" s="2">
        <v>3.023619806488333E-05</v>
      </c>
      <c r="F259" s="2">
        <f>Inputs!$E$2*C259+Inputs!$F$2*D259</f>
        <v>-0.0007960696255839999</v>
      </c>
      <c r="G259" s="2">
        <f>Inputs!$E$3*C259+Inputs!$F$3*D259</f>
        <v>-0.0012073382933465997</v>
      </c>
      <c r="H259" s="2">
        <f>F259^2</f>
        <v>6.337268487774498e-07</v>
      </c>
      <c r="I259" s="2">
        <f>G259^2</f>
        <v>1.45766575458108e-06</v>
      </c>
      <c r="J259" s="2">
        <f>LN(1+F259+E259)</f>
        <v>-0.0007661268277450642</v>
      </c>
      <c r="K259" s="2">
        <f>LN(1+G259+E259)</f>
        <v>-0.0011777954240856103</v>
      </c>
      <c r="L259" s="2">
        <f>LN(1+E259)</f>
        <v>3.0235740960458487e-05</v>
      </c>
      <c r="M259" s="2">
        <f>LN(1+C259+E259)</f>
        <v>-0.0001723054655751561</v>
      </c>
      <c r="N259" s="2">
        <f>LN(1+D259+E259)</f>
        <v>-0.0010270379743593234</v>
      </c>
      <c r="O259" s="2">
        <f>LN(1+C259+E259+Inputs!$B$7/Inputs!$B$9)</f>
        <v>-0.00016238317035372697</v>
      </c>
      <c r="P259" s="2">
        <f>LN(1+D259+E259+Inputs!$B$8/Inputs!$B$9)</f>
        <v>-0.0010270379743593234</v>
      </c>
      <c r="Q259" s="2">
        <f>LN(1+E259+Inputs!$B$6/Inputs!$B$9)</f>
        <v>5.0076214071880644e-05</v>
      </c>
    </row>
    <row r="260" spans="1:17">
      <c r="A260" s="3">
        <v>42746</v>
      </c>
      <c r="B260" t="s">
        <v>53</v>
      </c>
      <c r="C260" s="2">
        <v>0.01295371867848781</v>
      </c>
      <c r="D260" s="2">
        <v>-0.007134453461933475</v>
      </c>
      <c r="E260" s="2">
        <v>3.031524694871309E-05</v>
      </c>
      <c r="F260" s="2">
        <f>Inputs!$E$2*C260+Inputs!$F$2*D260</f>
        <v>0.0060823028656306</v>
      </c>
      <c r="G260" s="2">
        <f>Inputs!$E$3*C260+Inputs!$F$3*D260</f>
        <v>-0.012447459757866</v>
      </c>
      <c r="H260" s="2">
        <f>F260^2</f>
        <v>3.6994408149258204e-05</v>
      </c>
      <c r="I260" s="2">
        <f>G260^2</f>
        <v>0.0001549392544236935</v>
      </c>
      <c r="J260" s="2">
        <f>LN(1+F260+E260)</f>
        <v>0.006094011845988629</v>
      </c>
      <c r="K260" s="2">
        <f>LN(1+G260+E260)</f>
        <v>-0.01249488143388615</v>
      </c>
      <c r="L260" s="2">
        <f>LN(1+E260)</f>
        <v>3.031478745115197e-05</v>
      </c>
      <c r="M260" s="2">
        <f>LN(1+C260+E260)</f>
        <v>0.012900463963104677</v>
      </c>
      <c r="N260" s="2">
        <f>LN(1+D260+E260)</f>
        <v>-0.0071294927576834805</v>
      </c>
      <c r="O260" s="2">
        <f>LN(1+C260+E260+Inputs!$B$7/Inputs!$B$9)</f>
        <v>0.012910257391243709</v>
      </c>
      <c r="P260" s="2">
        <f>LN(1+D260+E260+Inputs!$B$8/Inputs!$B$9)</f>
        <v>-0.0071294927576834805</v>
      </c>
      <c r="Q260" s="2">
        <f>LN(1+E260+Inputs!$B$6/Inputs!$B$9)</f>
        <v>5.0155258994269976e-05</v>
      </c>
    </row>
    <row r="261" spans="1:17">
      <c r="A261" s="3">
        <v>42747</v>
      </c>
      <c r="B261" t="s">
        <v>53</v>
      </c>
      <c r="C261" s="2">
        <v>0.01344761651140943</v>
      </c>
      <c r="D261" s="2">
        <v>-0.007435561564125976</v>
      </c>
      <c r="E261" s="2">
        <v>3.039429583254284E-05</v>
      </c>
      <c r="F261" s="2">
        <f>Inputs!$E$2*C261+Inputs!$F$2*D261</f>
        <v>0.0062967562706516</v>
      </c>
      <c r="G261" s="2">
        <f>Inputs!$E$3*C261+Inputs!$F$3*D261</f>
        <v>-0.0129569588303739</v>
      </c>
      <c r="H261" s="2">
        <f>F261^2</f>
        <v>3.964913953199024e-05</v>
      </c>
      <c r="I261" s="2">
        <f>G261^2</f>
        <v>0.00016788278213200416</v>
      </c>
      <c r="J261" s="2">
        <f>LN(1+F261+E261)</f>
        <v>0.006307218181956246</v>
      </c>
      <c r="K261" s="2">
        <f>LN(1+G261+E261)</f>
        <v>-0.013010839615832744</v>
      </c>
      <c r="L261" s="2">
        <f>LN(1+E261)</f>
        <v>3.039383393581915e-05</v>
      </c>
      <c r="M261" s="2">
        <f>LN(1+C261+E261)</f>
        <v>0.013387990381744668</v>
      </c>
      <c r="N261" s="2">
        <f>LN(1+D261+E261)</f>
        <v>-0.007432721633494281</v>
      </c>
      <c r="O261" s="2">
        <f>LN(1+C261+E261+Inputs!$B$7/Inputs!$B$9)</f>
        <v>0.013397779036515787</v>
      </c>
      <c r="P261" s="2">
        <f>LN(1+D261+E261+Inputs!$B$8/Inputs!$B$9)</f>
        <v>-0.007432721633494281</v>
      </c>
      <c r="Q261" s="2">
        <f>LN(1+E261+Inputs!$B$6/Inputs!$B$9)</f>
        <v>5.0234303910633246e-05</v>
      </c>
    </row>
    <row r="262" spans="1:17">
      <c r="A262" s="3">
        <v>42748</v>
      </c>
      <c r="B262" t="s">
        <v>53</v>
      </c>
      <c r="C262" s="2">
        <v>0.0034067316335916</v>
      </c>
      <c r="D262" s="2">
        <v>0.003182352475448257</v>
      </c>
      <c r="E262" s="2">
        <v>3.04733447163726E-05</v>
      </c>
      <c r="F262" s="2">
        <f>Inputs!$E$2*C262+Inputs!$F$2*D262</f>
        <v>0.0046347967921424</v>
      </c>
      <c r="G262" s="2">
        <f>Inputs!$E$3*C262+Inputs!$F$3*D262</f>
        <v>0.0027968034804599995</v>
      </c>
      <c r="H262" s="2">
        <f>F262^2</f>
        <v>2.1481341304453483e-05</v>
      </c>
      <c r="I262" s="2">
        <f>G262^2</f>
        <v>7.822109708313168e-06</v>
      </c>
      <c r="J262" s="2">
        <f>LN(1+F262+E262)</f>
        <v>0.004654421492286664</v>
      </c>
      <c r="K262" s="2">
        <f>LN(1+G262+E262)</f>
        <v>0.0028232875953886757</v>
      </c>
      <c r="L262" s="2">
        <f>LN(1+E262)</f>
        <v>3.047288041312779e-05</v>
      </c>
      <c r="M262" s="2">
        <f>LN(1+C262+E262)</f>
        <v>0.0034313112906237254</v>
      </c>
      <c r="N262" s="2">
        <f>LN(1+D262+E262)</f>
        <v>0.003207675723249912</v>
      </c>
      <c r="O262" s="2">
        <f>LN(1+C262+E262+Inputs!$B$7/Inputs!$B$9)</f>
        <v>0.0034411978942206797</v>
      </c>
      <c r="P262" s="2">
        <f>LN(1+D262+E262+Inputs!$B$8/Inputs!$B$9)</f>
        <v>0.003207675723249912</v>
      </c>
      <c r="Q262" s="2">
        <f>LN(1+E262+Inputs!$B$6/Inputs!$B$9)</f>
        <v>5.0313348819638244e-05</v>
      </c>
    </row>
    <row r="263" spans="1:17">
      <c r="A263" s="3">
        <v>42752</v>
      </c>
      <c r="B263" t="s">
        <v>53</v>
      </c>
      <c r="C263" s="2">
        <v>0.006766033490062206</v>
      </c>
      <c r="D263" s="2">
        <v>0.008848155895383134</v>
      </c>
      <c r="E263" s="2">
        <v>3.055239360020237E-05</v>
      </c>
      <c r="F263" s="2">
        <f>Inputs!$E$2*C263+Inputs!$F$2*D263</f>
        <v>0.0107217203292794</v>
      </c>
      <c r="G263" s="2">
        <f>Inputs!$E$3*C263+Inputs!$F$3*D263</f>
        <v>0.008587977027441001</v>
      </c>
      <c r="H263" s="2">
        <f>F263^2</f>
        <v>0.00011495528681928315</v>
      </c>
      <c r="I263" s="2">
        <f>G263^2</f>
        <v>7.375334942385438e-05</v>
      </c>
      <c r="J263" s="2">
        <f>LN(1+F263+E263)</f>
        <v>0.010694878087171693</v>
      </c>
      <c r="K263" s="2">
        <f>LN(1+G263+E263)</f>
        <v>0.008581601918506071</v>
      </c>
      <c r="L263" s="2">
        <f>LN(1+E263)</f>
        <v>3.055192688507624e-05</v>
      </c>
      <c r="M263" s="2">
        <f>LN(1+C263+E263)</f>
        <v>0.006773593216124774</v>
      </c>
      <c r="N263" s="2">
        <f>LN(1+D263+E263)</f>
        <v>0.008839524323078583</v>
      </c>
      <c r="O263" s="2">
        <f>LN(1+C263+E263+Inputs!$B$7/Inputs!$B$9)</f>
        <v>0.006783446831227155</v>
      </c>
      <c r="P263" s="2">
        <f>LN(1+D263+E263+Inputs!$B$8/Inputs!$B$9)</f>
        <v>0.008839524323078583</v>
      </c>
      <c r="Q263" s="2">
        <f>LN(1+E263+Inputs!$B$6/Inputs!$B$9)</f>
        <v>5.039239372328329e-05</v>
      </c>
    </row>
    <row r="264" spans="1:17">
      <c r="A264" s="3">
        <v>42753</v>
      </c>
      <c r="B264" t="s">
        <v>53</v>
      </c>
      <c r="C264" s="2">
        <v>-0.006851883377028549</v>
      </c>
      <c r="D264" s="2">
        <v>0.001843178103729129</v>
      </c>
      <c r="E264" s="2">
        <v>3.063144248403213E-05</v>
      </c>
      <c r="F264" s="2">
        <f>Inputs!$E$2*C264+Inputs!$F$2*D264</f>
        <v>-0.0043755998393858</v>
      </c>
      <c r="G264" s="2">
        <f>Inputs!$E$3*C264+Inputs!$F$3*D264</f>
        <v>0.0042673787375835</v>
      </c>
      <c r="H264" s="2">
        <f>F264^2</f>
        <v>1.9145873954433044e-05</v>
      </c>
      <c r="I264" s="2">
        <f>G264^2</f>
        <v>1.8210521289979746e-05</v>
      </c>
      <c r="J264" s="2">
        <f>LN(1+F264+E264)</f>
        <v>-0.004354435204024054</v>
      </c>
      <c r="K264" s="2">
        <f>LN(1+G264+E264)</f>
        <v>0.004288800114852554</v>
      </c>
      <c r="L264" s="2">
        <f>LN(1+E264)</f>
        <v>3.063097335099838e-05</v>
      </c>
      <c r="M264" s="2">
        <f>LN(1+C264+E264)</f>
        <v>-0.006844623014171299</v>
      </c>
      <c r="N264" s="2">
        <f>LN(1+D264+E264)</f>
        <v>0.0018720561551108688</v>
      </c>
      <c r="O264" s="2">
        <f>LN(1+C264+E264+Inputs!$B$7/Inputs!$B$9)</f>
        <v>-0.006834634293215633</v>
      </c>
      <c r="P264" s="2">
        <f>LN(1+D264+E264+Inputs!$B$8/Inputs!$B$9)</f>
        <v>0.0018720561551108688</v>
      </c>
      <c r="Q264" s="2">
        <f>LN(1+E264+Inputs!$B$6/Inputs!$B$9)</f>
        <v>5.047143862090226e-05</v>
      </c>
    </row>
    <row r="265" spans="1:17">
      <c r="A265" s="3">
        <v>42754</v>
      </c>
      <c r="B265" t="s">
        <v>53</v>
      </c>
      <c r="C265" s="2">
        <v>0.005395971862993483</v>
      </c>
      <c r="D265" s="2">
        <v>0.001095460844439888</v>
      </c>
      <c r="E265" s="2">
        <v>3.071049136786189E-05</v>
      </c>
      <c r="F265" s="2">
        <f>Inputs!$E$2*C265+Inputs!$F$2*D265</f>
        <v>0.0049740539970584</v>
      </c>
      <c r="G265" s="2">
        <f>Inputs!$E$3*C265+Inputs!$F$3*D265</f>
        <v>-0.0003042385455699001</v>
      </c>
      <c r="H265" s="2">
        <f>F265^2</f>
        <v>2.4741213165652646e-05</v>
      </c>
      <c r="I265" s="2">
        <f>G265^2</f>
        <v>9.256109261048818e-08</v>
      </c>
      <c r="J265" s="2">
        <f>LN(1+F265+E265)</f>
        <v>0.004992282284305421</v>
      </c>
      <c r="K265" s="2">
        <f>LN(1+G265+E265)</f>
        <v>-0.0002735654698230761</v>
      </c>
      <c r="L265" s="2">
        <f>LN(1+E265)</f>
        <v>3.0710019810450144e-05</v>
      </c>
      <c r="M265" s="2">
        <f>LN(1+C265+E265)</f>
        <v>0.005412010967709537</v>
      </c>
      <c r="N265" s="2">
        <f>LN(1+D265+E265)</f>
        <v>0.0011255376805607792</v>
      </c>
      <c r="O265" s="2">
        <f>LN(1+C265+E265+Inputs!$B$7/Inputs!$B$9)</f>
        <v>0.005421878008391075</v>
      </c>
      <c r="P265" s="2">
        <f>LN(1+D265+E265+Inputs!$B$8/Inputs!$B$9)</f>
        <v>0.0011255376805607792</v>
      </c>
      <c r="Q265" s="2">
        <f>LN(1+E265+Inputs!$B$6/Inputs!$B$9)</f>
        <v>5.0550483512051105e-05</v>
      </c>
    </row>
    <row r="266" spans="1:17">
      <c r="A266" s="3">
        <v>42755</v>
      </c>
      <c r="B266" t="s">
        <v>53</v>
      </c>
      <c r="C266" s="2">
        <v>-0.007160050673774237</v>
      </c>
      <c r="D266" s="2">
        <v>-0.004901936833862647</v>
      </c>
      <c r="E266" s="2">
        <v>3.078954025169165E-05</v>
      </c>
      <c r="F266" s="2">
        <f>Inputs!$E$2*C266+Inputs!$F$2*D266</f>
        <v>-0.008669202639337</v>
      </c>
      <c r="G266" s="2">
        <f>Inputs!$E$3*C266+Inputs!$F$3*D266</f>
        <v>-0.0037343089985034006</v>
      </c>
      <c r="H266" s="2">
        <f>F266^2</f>
        <v>7.515507440188763e-05</v>
      </c>
      <c r="I266" s="2">
        <f>G266^2</f>
        <v>1.394506369630347e-05</v>
      </c>
      <c r="J266" s="2">
        <f>LN(1+F266+E266)</f>
        <v>-0.008675940463736223</v>
      </c>
      <c r="K266" s="2">
        <f>LN(1+G266+E266)</f>
        <v>-0.00371039446617303</v>
      </c>
      <c r="L266" s="2">
        <f>LN(1+E266)</f>
        <v>3.07890662638756e-05</v>
      </c>
      <c r="M266" s="2">
        <f>LN(1+C266+E266)</f>
        <v>-0.0071547957500200975</v>
      </c>
      <c r="N266" s="2">
        <f>LN(1+D266+E266)</f>
        <v>-0.004883050000546097</v>
      </c>
      <c r="O266" s="2">
        <f>LN(1+C266+E266+Inputs!$B$7/Inputs!$B$9)</f>
        <v>-0.007144803930370463</v>
      </c>
      <c r="P266" s="2">
        <f>LN(1+D266+E266+Inputs!$B$8/Inputs!$B$9)</f>
        <v>-0.004883050000546097</v>
      </c>
      <c r="Q266" s="2">
        <f>LN(1+E266+Inputs!$B$6/Inputs!$B$9)</f>
        <v>5.0629528397173895e-05</v>
      </c>
    </row>
    <row r="267" spans="1:17">
      <c r="A267" s="3">
        <v>42758</v>
      </c>
      <c r="B267" t="s">
        <v>53</v>
      </c>
      <c r="C267" s="2">
        <v>-0.001148008332454496</v>
      </c>
      <c r="D267" s="2">
        <v>0.007728490806160247</v>
      </c>
      <c r="E267" s="2">
        <v>3.086858913552141E-05</v>
      </c>
      <c r="F267" s="2">
        <f>Inputs!$E$2*C267+Inputs!$F$2*D267</f>
        <v>0.0037186878177327995</v>
      </c>
      <c r="G267" s="2">
        <f>Inputs!$E$3*C267+Inputs!$F$3*D267</f>
        <v>0.009618591467128198</v>
      </c>
      <c r="H267" s="2">
        <f>F267^2</f>
        <v>1.382863908575433e-05</v>
      </c>
      <c r="I267" s="2">
        <f>G267^2</f>
        <v>9.251730181151138e-05</v>
      </c>
      <c r="J267" s="2">
        <f>LN(1+F267+E267)</f>
        <v>0.003742544342865046</v>
      </c>
      <c r="K267" s="2">
        <f>LN(1+G267+E267)</f>
        <v>0.009603201359472683</v>
      </c>
      <c r="L267" s="2">
        <f>LN(1+E267)</f>
        <v>3.0868112710830676e-05</v>
      </c>
      <c r="M267" s="2">
        <f>LN(1+C267+E267)</f>
        <v>-0.0011177642090413097</v>
      </c>
      <c r="N267" s="2">
        <f>LN(1+D267+E267)</f>
        <v>0.007729410389818122</v>
      </c>
      <c r="O267" s="2">
        <f>LN(1+C267+E267+Inputs!$B$7/Inputs!$B$9)</f>
        <v>-0.001107832528309586</v>
      </c>
      <c r="P267" s="2">
        <f>LN(1+D267+E267+Inputs!$B$8/Inputs!$B$9)</f>
        <v>0.007729410389818122</v>
      </c>
      <c r="Q267" s="2">
        <f>LN(1+E267+Inputs!$B$6/Inputs!$B$9)</f>
        <v>5.070857327582655e-05</v>
      </c>
    </row>
    <row r="268" spans="1:17">
      <c r="A268" s="3">
        <v>42759</v>
      </c>
      <c r="B268" t="s">
        <v>53</v>
      </c>
      <c r="C268" s="2">
        <v>-0.0009131664769844787</v>
      </c>
      <c r="D268" s="2">
        <v>0.007389627907999148</v>
      </c>
      <c r="E268" s="2">
        <v>3.094763801935117E-05</v>
      </c>
      <c r="F268" s="2">
        <f>Inputs!$E$2*C268+Inputs!$F$2*D268</f>
        <v>0.0037032435632121997</v>
      </c>
      <c r="G268" s="2">
        <f>Inputs!$E$3*C268+Inputs!$F$3*D268</f>
        <v>0.009141503432694</v>
      </c>
      <c r="H268" s="2">
        <f>F268^2</f>
        <v>1.371401288847259e-05</v>
      </c>
      <c r="I268" s="2">
        <f>G268^2</f>
        <v>8.356708500995617e-05</v>
      </c>
      <c r="J268" s="2">
        <f>LN(1+F268+E268)</f>
        <v>0.0037272364175518617</v>
      </c>
      <c r="K268" s="2">
        <f>LN(1+G268+E268)</f>
        <v>0.009130639622551678</v>
      </c>
      <c r="L268" s="2">
        <f>LN(1+E268)</f>
        <v>3.094715915064926e-05</v>
      </c>
      <c r="M268" s="2">
        <f>LN(1+C268+E268)</f>
        <v>-0.0008826082230363981</v>
      </c>
      <c r="N268" s="2">
        <f>LN(1+D268+E268)</f>
        <v>0.007393178526255602</v>
      </c>
      <c r="O268" s="2">
        <f>LN(1+C268+E268+Inputs!$B$7/Inputs!$B$9)</f>
        <v>-0.0008726788775126747</v>
      </c>
      <c r="P268" s="2">
        <f>LN(1+D268+E268+Inputs!$B$8/Inputs!$B$9)</f>
        <v>0.007393178526255602</v>
      </c>
      <c r="Q268" s="2">
        <f>LN(1+E268+Inputs!$B$6/Inputs!$B$9)</f>
        <v>5.0787618147342984e-05</v>
      </c>
    </row>
    <row r="269" spans="1:17">
      <c r="A269" s="3">
        <v>42760</v>
      </c>
      <c r="B269" t="s">
        <v>53</v>
      </c>
      <c r="C269" s="2">
        <v>-0.003679531673694775</v>
      </c>
      <c r="D269" s="2">
        <v>-0.006604462603883731</v>
      </c>
      <c r="E269" s="2">
        <v>3.102668690318093E-05</v>
      </c>
      <c r="F269" s="2">
        <f>Inputs!$E$2*C269+Inputs!$F$2*D269</f>
        <v>-0.0069063029012864</v>
      </c>
      <c r="G269" s="2">
        <f>Inputs!$E$3*C269+Inputs!$F$3*D269</f>
        <v>-0.006821495622552299</v>
      </c>
      <c r="H269" s="2">
        <f>F269^2</f>
        <v>4.769701976431695e-05</v>
      </c>
      <c r="I269" s="2">
        <f>G269^2</f>
        <v>4.653280252850018e-05</v>
      </c>
      <c r="J269" s="2">
        <f>LN(1+F269+E269)</f>
        <v>-0.0068990198176983415</v>
      </c>
      <c r="K269" s="2">
        <f>LN(1+G269+E269)</f>
        <v>-0.00681362907484777</v>
      </c>
      <c r="L269" s="2">
        <f>LN(1+E269)</f>
        <v>3.1026205585329695e-05</v>
      </c>
      <c r="M269" s="2">
        <f>LN(1+C269+E269)</f>
        <v>-0.00365517701467305</v>
      </c>
      <c r="N269" s="2">
        <f>LN(1+D269+E269)</f>
        <v>-0.006595136095623427</v>
      </c>
      <c r="O269" s="2">
        <f>LN(1+C269+E269+Inputs!$B$7/Inputs!$B$9)</f>
        <v>-0.003645220101293633</v>
      </c>
      <c r="P269" s="2">
        <f>LN(1+D269+E269+Inputs!$B$8/Inputs!$B$9)</f>
        <v>-0.006595136095623427</v>
      </c>
      <c r="Q269" s="2">
        <f>LN(1+E269+Inputs!$B$6/Inputs!$B$9)</f>
        <v>5.08666630137215e-05</v>
      </c>
    </row>
    <row r="270" spans="1:17">
      <c r="A270" s="3">
        <v>42761</v>
      </c>
      <c r="B270" t="s">
        <v>53</v>
      </c>
      <c r="C270" s="2">
        <v>-0.01656695281400601</v>
      </c>
      <c r="D270" s="2">
        <v>0.001263688299032436</v>
      </c>
      <c r="E270" s="2">
        <v>3.110573578701069E-05</v>
      </c>
      <c r="F270" s="2">
        <f>Inputs!$E$2*C270+Inputs!$F$2*D270</f>
        <v>-0.012495349271785602</v>
      </c>
      <c r="G270" s="2">
        <f>Inputs!$E$3*C270+Inputs!$F$3*D270</f>
        <v>0.006486511803040201</v>
      </c>
      <c r="H270" s="2">
        <f>F270^2</f>
        <v>0.00015613375342391297</v>
      </c>
      <c r="I270" s="2">
        <f>G270^2</f>
        <v>4.207483537097983e-05</v>
      </c>
      <c r="J270" s="2">
        <f>LN(1+F270+E270)</f>
        <v>-0.012542573784923189</v>
      </c>
      <c r="K270" s="2">
        <f>LN(1+G270+E270)</f>
        <v>0.006496469708878765</v>
      </c>
      <c r="L270" s="2">
        <f>LN(1+E270)</f>
        <v>3.110525201353975e-05</v>
      </c>
      <c r="M270" s="2">
        <f>LN(1+C270+E270)</f>
        <v>-0.016674090295392966</v>
      </c>
      <c r="N270" s="2">
        <f>LN(1+D270+E270)</f>
        <v>0.001293956511891121</v>
      </c>
      <c r="O270" s="2">
        <f>LN(1+C270+E270+Inputs!$B$7/Inputs!$B$9)</f>
        <v>-0.01666400290699693</v>
      </c>
      <c r="P270" s="2">
        <f>LN(1+D270+E270+Inputs!$B$8/Inputs!$B$9)</f>
        <v>0.001293956511891121</v>
      </c>
      <c r="Q270" s="2">
        <f>LN(1+E270+Inputs!$B$6/Inputs!$B$9)</f>
        <v>5.094570787362988e-05</v>
      </c>
    </row>
    <row r="271" spans="1:17">
      <c r="A271" s="3">
        <v>42762</v>
      </c>
      <c r="B271" t="s">
        <v>53</v>
      </c>
      <c r="C271" s="2">
        <v>-0.007312651436474754</v>
      </c>
      <c r="D271" s="2">
        <v>-0.001272516752486666</v>
      </c>
      <c r="E271" s="2">
        <v>3.118478467084045E-05</v>
      </c>
      <c r="F271" s="2">
        <f>Inputs!$E$2*C271+Inputs!$F$2*D271</f>
        <v>-0.0066136312006722</v>
      </c>
      <c r="G271" s="2">
        <f>Inputs!$E$3*C271+Inputs!$F$3*D271</f>
        <v>0.0006667753279581002</v>
      </c>
      <c r="H271" s="2">
        <f>F271^2</f>
        <v>4.374011765850481e-05</v>
      </c>
      <c r="I271" s="2">
        <f>G271^2</f>
        <v>4.445893379736321e-07</v>
      </c>
      <c r="J271" s="2">
        <f>LN(1+F271+E271)</f>
        <v>-0.006604206257635711</v>
      </c>
      <c r="K271" s="2">
        <f>LN(1+G271+E271)</f>
        <v>0.0006977166517471183</v>
      </c>
      <c r="L271" s="2">
        <f>LN(1+E271)</f>
        <v>3.118429843572351e-05</v>
      </c>
      <c r="M271" s="2">
        <f>LN(1+C271+E271)</f>
        <v>-0.007308105924193574</v>
      </c>
      <c r="N271" s="2">
        <f>LN(1+D271+E271)</f>
        <v>-0.0012421030585288665</v>
      </c>
      <c r="O271" s="2">
        <f>LN(1+C271+E271+Inputs!$B$7/Inputs!$B$9)</f>
        <v>-0.0072981125725865535</v>
      </c>
      <c r="P271" s="2">
        <f>LN(1+D271+E271+Inputs!$B$8/Inputs!$B$9)</f>
        <v>-0.0012421030585288665</v>
      </c>
      <c r="Q271" s="2">
        <f>LN(1+E271+Inputs!$B$6/Inputs!$B$9)</f>
        <v>5.102475272751221e-05</v>
      </c>
    </row>
    <row r="272" spans="1:17">
      <c r="A272" s="3">
        <v>42765</v>
      </c>
      <c r="B272" t="s">
        <v>53</v>
      </c>
      <c r="C272" s="2">
        <v>0.003081378386461025</v>
      </c>
      <c r="D272" s="2">
        <v>-0.008147208713597478</v>
      </c>
      <c r="E272" s="2">
        <v>3.126383355467021E-05</v>
      </c>
      <c r="F272" s="2">
        <f>Inputs!$E$2*C272+Inputs!$F$2*D272</f>
        <v>-0.0024232225189894</v>
      </c>
      <c r="G272" s="2">
        <f>Inputs!$E$3*C272+Inputs!$F$3*D272</f>
        <v>-0.0107010639722547</v>
      </c>
      <c r="H272" s="2">
        <f>F272^2</f>
        <v>5.8720073765373335e-06</v>
      </c>
      <c r="I272" s="2">
        <f>G272^2</f>
        <v>0.00011451277013828755</v>
      </c>
      <c r="J272" s="2">
        <f>LN(1+F272+E272)</f>
        <v>-0.002394823988647347</v>
      </c>
      <c r="K272" s="2">
        <f>LN(1+G272+E272)</f>
        <v>-0.010727130624089492</v>
      </c>
      <c r="L272" s="2">
        <f>LN(1+E272)</f>
        <v>3.12633448514369e-05</v>
      </c>
      <c r="M272" s="2">
        <f>LN(1+C272+E272)</f>
        <v>0.0031078079781334507</v>
      </c>
      <c r="N272" s="2">
        <f>LN(1+D272+E272)</f>
        <v>-0.00814905844765146</v>
      </c>
      <c r="O272" s="2">
        <f>LN(1+C272+E272+Inputs!$B$7/Inputs!$B$9)</f>
        <v>0.0031176977805809944</v>
      </c>
      <c r="P272" s="2">
        <f>LN(1+D272+E272+Inputs!$B$8/Inputs!$B$9)</f>
        <v>-0.00814905844765146</v>
      </c>
      <c r="Q272" s="2">
        <f>LN(1+E272+Inputs!$B$6/Inputs!$B$9)</f>
        <v>5.1103797574924415e-05</v>
      </c>
    </row>
    <row r="273" spans="1:17">
      <c r="A273" s="3">
        <v>42766</v>
      </c>
      <c r="B273" t="s">
        <v>53</v>
      </c>
      <c r="C273" s="2">
        <v>-0.0004071075857036966</v>
      </c>
      <c r="D273" s="2">
        <v>0.01081115086748124</v>
      </c>
      <c r="E273" s="2">
        <v>3.134288243849997E-05</v>
      </c>
      <c r="F273" s="2">
        <f>Inputs!$E$2*C273+Inputs!$F$2*D273</f>
        <v>0.0061610044519254</v>
      </c>
      <c r="G273" s="2">
        <f>Inputs!$E$3*C273+Inputs!$F$3*D273</f>
        <v>0.013095513316688399</v>
      </c>
      <c r="H273" s="2">
        <f>F273^2</f>
        <v>3.79579758566446e-05</v>
      </c>
      <c r="I273" s="2">
        <f>G273^2</f>
        <v>0.00017149246902756318</v>
      </c>
      <c r="J273" s="2">
        <f>LN(1+F273+E273)</f>
        <v>0.0061732535346934</v>
      </c>
      <c r="K273" s="2">
        <f>LN(1+G273+E273)</f>
        <v>0.013041445658254644</v>
      </c>
      <c r="L273" s="2">
        <f>LN(1+E273)</f>
        <v>3.13423912600138e-05</v>
      </c>
      <c r="M273" s="2">
        <f>LN(1+C273+E273)</f>
        <v>-0.00037583532051292304</v>
      </c>
      <c r="N273" s="2">
        <f>LN(1+D273+E273)</f>
        <v>0.010784135369190699</v>
      </c>
      <c r="O273" s="2">
        <f>LN(1+C273+E273+Inputs!$B$7/Inputs!$B$9)</f>
        <v>-0.0003659110056126823</v>
      </c>
      <c r="P273" s="2">
        <f>LN(1+D273+E273+Inputs!$B$8/Inputs!$B$9)</f>
        <v>0.010784135369190699</v>
      </c>
      <c r="Q273" s="2">
        <f>LN(1+E273+Inputs!$B$6/Inputs!$B$9)</f>
        <v>5.11828424152004e-05</v>
      </c>
    </row>
    <row r="274" spans="1:17">
      <c r="A274" s="3">
        <v>42767</v>
      </c>
      <c r="B274" t="s">
        <v>54</v>
      </c>
      <c r="C274" s="2">
        <v>-0.003143770226886586</v>
      </c>
      <c r="D274" s="2">
        <v>0.008774377856429356</v>
      </c>
      <c r="E274" s="2">
        <v>3.142193132232973E-05</v>
      </c>
      <c r="F274" s="2">
        <f>Inputs!$E$2*C274+Inputs!$F$2*D274</f>
        <v>0.0027496105323478</v>
      </c>
      <c r="G274" s="2">
        <f>Inputs!$E$3*C274+Inputs!$F$3*D274</f>
        <v>0.0114723844957809</v>
      </c>
      <c r="H274" s="2">
        <f>F274^2</f>
        <v>7.560358079597952e-06</v>
      </c>
      <c r="I274" s="2">
        <f>G274^2</f>
        <v>0.00013161560601903397</v>
      </c>
      <c r="J274" s="2">
        <f>LN(1+F274+E274)</f>
        <v>0.0027771725475997837</v>
      </c>
      <c r="K274" s="2">
        <f>LN(1+G274+E274)</f>
        <v>0.011438140769450402</v>
      </c>
      <c r="L274" s="2">
        <f>LN(1+E274)</f>
        <v>3.1421437663452554e-05</v>
      </c>
      <c r="M274" s="2">
        <f>LN(1+C274+E274)</f>
        <v>-0.00311720172451194</v>
      </c>
      <c r="N274" s="2">
        <f>LN(1+D274+E274)</f>
        <v>0.00876725484688272</v>
      </c>
      <c r="O274" s="2">
        <f>LN(1+C274+E274+Inputs!$B$7/Inputs!$B$9)</f>
        <v>-0.003107250166238648</v>
      </c>
      <c r="P274" s="2">
        <f>LN(1+D274+E274+Inputs!$B$8/Inputs!$B$9)</f>
        <v>0.00876725484688272</v>
      </c>
      <c r="Q274" s="2">
        <f>LN(1+E274+Inputs!$B$6/Inputs!$B$9)</f>
        <v>5.126188725033847e-05</v>
      </c>
    </row>
    <row r="275" spans="1:17">
      <c r="A275" s="3">
        <v>42768</v>
      </c>
      <c r="B275" t="s">
        <v>54</v>
      </c>
      <c r="C275" s="2">
        <v>0.003574986638779545</v>
      </c>
      <c r="D275" s="2">
        <v>0.003063660978952569</v>
      </c>
      <c r="E275" s="2">
        <v>3.150098020615949E-05</v>
      </c>
      <c r="F275" s="2">
        <f>Inputs!$E$2*C275+Inputs!$F$2*D275</f>
        <v>0.0046981858983958</v>
      </c>
      <c r="G275" s="2">
        <f>Inputs!$E$3*C275+Inputs!$F$3*D275</f>
        <v>0.0026038971831096</v>
      </c>
      <c r="H275" s="2">
        <f>F275^2</f>
        <v>2.2072950735885152e-05</v>
      </c>
      <c r="I275" s="2">
        <f>G275^2</f>
        <v>6.78028054020611e-06</v>
      </c>
      <c r="J275" s="2">
        <f>LN(1+F275+E275)</f>
        <v>0.004718537052585838</v>
      </c>
      <c r="K275" s="2">
        <f>LN(1+G275+E275)</f>
        <v>0.002631931590772894</v>
      </c>
      <c r="L275" s="2">
        <f>LN(1+E275)</f>
        <v>3.150048406064297e-05</v>
      </c>
      <c r="M275" s="2">
        <f>LN(1+C275+E275)</f>
        <v>0.003599999836572035</v>
      </c>
      <c r="N275" s="2">
        <f>LN(1+D275+E275)</f>
        <v>0.003090381806407049</v>
      </c>
      <c r="O275" s="2">
        <f>LN(1+C275+E275+Inputs!$B$7/Inputs!$B$9)</f>
        <v>0.0036098847725611048</v>
      </c>
      <c r="P275" s="2">
        <f>LN(1+D275+E275+Inputs!$B$8/Inputs!$B$9)</f>
        <v>0.003090381806407049</v>
      </c>
      <c r="Q275" s="2">
        <f>LN(1+E275+Inputs!$B$6/Inputs!$B$9)</f>
        <v>5.1340932079228456e-05</v>
      </c>
    </row>
    <row r="276" spans="1:17">
      <c r="A276" s="3">
        <v>42769</v>
      </c>
      <c r="B276" t="s">
        <v>54</v>
      </c>
      <c r="C276" s="2">
        <v>0.005512401208620569</v>
      </c>
      <c r="D276" s="2">
        <v>0.01025837697606088</v>
      </c>
      <c r="E276" s="2">
        <v>3.158002908998925E-05</v>
      </c>
      <c r="F276" s="2">
        <f>Inputs!$E$2*C276+Inputs!$F$2*D276</f>
        <v>0.0105649471525334</v>
      </c>
      <c r="G276" s="2">
        <f>Inputs!$E$3*C276+Inputs!$F$3*D276</f>
        <v>0.0106563320086869</v>
      </c>
      <c r="H276" s="2">
        <f>F276^2</f>
        <v>0.00011161810833582362</v>
      </c>
      <c r="I276" s="2">
        <f>G276^2</f>
        <v>0.00011355741187936496</v>
      </c>
      <c r="J276" s="2">
        <f>LN(1+F276+E276)</f>
        <v>0.010540777477151755</v>
      </c>
      <c r="K276" s="2">
        <f>LN(1+G276+E276)</f>
        <v>0.010631200036632036</v>
      </c>
      <c r="L276" s="2">
        <f>LN(1+E276)</f>
        <v>3.157953045136302e-05</v>
      </c>
      <c r="M276" s="2">
        <f>LN(1+C276+E276)</f>
        <v>0.005528669938033349</v>
      </c>
      <c r="N276" s="2">
        <f>LN(1+D276+E276)</f>
        <v>0.010237375795540253</v>
      </c>
      <c r="O276" s="2">
        <f>LN(1+C276+E276+Inputs!$B$7/Inputs!$B$9)</f>
        <v>0.005538535827708899</v>
      </c>
      <c r="P276" s="2">
        <f>LN(1+D276+E276+Inputs!$B$8/Inputs!$B$9)</f>
        <v>0.010237375795540253</v>
      </c>
      <c r="Q276" s="2">
        <f>LN(1+E276+Inputs!$B$6/Inputs!$B$9)</f>
        <v>5.141997690164832e-05</v>
      </c>
    </row>
    <row r="277" spans="1:17">
      <c r="A277" s="3">
        <v>42772</v>
      </c>
      <c r="B277" t="s">
        <v>54</v>
      </c>
      <c r="C277" s="2">
        <v>0.006646972060058376</v>
      </c>
      <c r="D277" s="2">
        <v>-0.00266854914834776</v>
      </c>
      <c r="E277" s="2">
        <v>3.165907797381901E-05</v>
      </c>
      <c r="F277" s="2">
        <f>Inputs!$E$2*C277+Inputs!$F$2*D277</f>
        <v>0.0037164481590376006</v>
      </c>
      <c r="G277" s="2">
        <f>Inputs!$E$3*C277+Inputs!$F$3*D277</f>
        <v>-0.005196350596035</v>
      </c>
      <c r="H277" s="2">
        <f>F277^2</f>
        <v>1.3811986918813971e-05</v>
      </c>
      <c r="I277" s="2">
        <f>G277^2</f>
        <v>2.7002059516913296e-05</v>
      </c>
      <c r="J277" s="2">
        <f>LN(1+F277+E277)</f>
        <v>0.003741100585411925</v>
      </c>
      <c r="K277" s="2">
        <f>LN(1+G277+E277)</f>
        <v>-0.005178074636973638</v>
      </c>
      <c r="L277" s="2">
        <f>LN(1+E277)</f>
        <v>3.165857683605678e-05</v>
      </c>
      <c r="M277" s="2">
        <f>LN(1+C277+E277)</f>
        <v>0.006656427884495365</v>
      </c>
      <c r="N277" s="2">
        <f>LN(1+D277+E277)</f>
        <v>-0.0026403727887064823</v>
      </c>
      <c r="O277" s="2">
        <f>LN(1+C277+E277+Inputs!$B$7/Inputs!$B$9)</f>
        <v>0.006666282654161776</v>
      </c>
      <c r="P277" s="2">
        <f>LN(1+D277+E277+Inputs!$B$8/Inputs!$B$9)</f>
        <v>-0.0026403727887064823</v>
      </c>
      <c r="Q277" s="2">
        <f>LN(1+E277+Inputs!$B$6/Inputs!$B$9)</f>
        <v>5.149902171804213e-05</v>
      </c>
    </row>
    <row r="278" spans="1:17">
      <c r="A278" s="3">
        <v>42773</v>
      </c>
      <c r="B278" t="s">
        <v>54</v>
      </c>
      <c r="C278" s="2">
        <v>-0.006042141739990458</v>
      </c>
      <c r="D278" s="2">
        <v>0.002751894871530826</v>
      </c>
      <c r="E278" s="2">
        <v>3.173812685764878E-05</v>
      </c>
      <c r="F278" s="2">
        <f>Inputs!$E$2*C278+Inputs!$F$2*D278</f>
        <v>-0.0031825764690734002</v>
      </c>
      <c r="G278" s="2">
        <f>Inputs!$E$3*C278+Inputs!$F$3*D278</f>
        <v>0.0051149163678341995</v>
      </c>
      <c r="H278" s="2">
        <f>F278^2</f>
        <v>1.0128792981499712e-05</v>
      </c>
      <c r="I278" s="2">
        <f>G278^2</f>
        <v>2.61623694499382e-05</v>
      </c>
      <c r="J278" s="2">
        <f>LN(1+F278+E278)</f>
        <v>-0.0031558126849929526</v>
      </c>
      <c r="K278" s="2">
        <f>LN(1+G278+E278)</f>
        <v>0.005133455735381238</v>
      </c>
      <c r="L278" s="2">
        <f>LN(1+E278)</f>
        <v>3.173762321428017e-05</v>
      </c>
      <c r="M278" s="2">
        <f>LN(1+C278+E278)</f>
        <v>-0.006028538791937881</v>
      </c>
      <c r="N278" s="2">
        <f>LN(1+D278+E278)</f>
        <v>0.0027797658668418978</v>
      </c>
      <c r="O278" s="2">
        <f>LN(1+C278+E278+Inputs!$B$7/Inputs!$B$9)</f>
        <v>-0.006018558219253818</v>
      </c>
      <c r="P278" s="2">
        <f>LN(1+D278+E278+Inputs!$B$8/Inputs!$B$9)</f>
        <v>0.0027797658668418978</v>
      </c>
      <c r="Q278" s="2">
        <f>LN(1+E278+Inputs!$B$6/Inputs!$B$9)</f>
        <v>5.157806652796583e-05</v>
      </c>
    </row>
    <row r="279" spans="1:17">
      <c r="A279" s="3">
        <v>42774</v>
      </c>
      <c r="B279" t="s">
        <v>54</v>
      </c>
      <c r="C279" s="2">
        <v>0.0002853980446443195</v>
      </c>
      <c r="D279" s="2">
        <v>0.009681280196682785</v>
      </c>
      <c r="E279" s="2">
        <v>3.181717574147853E-05</v>
      </c>
      <c r="F279" s="2">
        <f>Inputs!$E$2*C279+Inputs!$F$2*D279</f>
        <v>0.0060370865537249995</v>
      </c>
      <c r="G279" s="2">
        <f>Inputs!$E$3*C279+Inputs!$F$3*D279</f>
        <v>0.011531916822626399</v>
      </c>
      <c r="H279" s="2">
        <f>F279^2</f>
        <v>3.644641405716719e-05</v>
      </c>
      <c r="I279" s="2">
        <f>G279^2</f>
        <v>0.00013298510560397374</v>
      </c>
      <c r="J279" s="2">
        <f>LN(1+F279+E279)</f>
        <v>0.006050562104853516</v>
      </c>
      <c r="K279" s="2">
        <f>LN(1+G279+E279)</f>
        <v>0.01149738503103291</v>
      </c>
      <c r="L279" s="2">
        <f>LN(1+E279)</f>
        <v>3.1816669585367074e-05</v>
      </c>
      <c r="M279" s="2">
        <f>LN(1+C279+E279)</f>
        <v>0.00031716491827439683</v>
      </c>
      <c r="N279" s="2">
        <f>LN(1+D279+E279)</f>
        <v>0.00966622849241296</v>
      </c>
      <c r="O279" s="2">
        <f>LN(1+C279+E279+Inputs!$B$7/Inputs!$B$9)</f>
        <v>0.0003270823580386562</v>
      </c>
      <c r="P279" s="2">
        <f>LN(1+D279+E279+Inputs!$B$8/Inputs!$B$9)</f>
        <v>0.00966622849241296</v>
      </c>
      <c r="Q279" s="2">
        <f>LN(1+E279+Inputs!$B$6/Inputs!$B$9)</f>
        <v>5.165711133075331e-05</v>
      </c>
    </row>
    <row r="280" spans="1:17">
      <c r="A280" s="3">
        <v>42775</v>
      </c>
      <c r="B280" t="s">
        <v>54</v>
      </c>
      <c r="C280" s="2">
        <v>-0.002324259192894705</v>
      </c>
      <c r="D280" s="2">
        <v>-0.001122860529731526</v>
      </c>
      <c r="E280" s="2">
        <v>3.189622462530829E-05</v>
      </c>
      <c r="F280" s="2">
        <f>Inputs!$E$2*C280+Inputs!$F$2*D280</f>
        <v>-0.0025331236721552</v>
      </c>
      <c r="G280" s="2">
        <f>Inputs!$E$3*C280+Inputs!$F$3*D280</f>
        <v>-0.0006501548778099002</v>
      </c>
      <c r="H280" s="2">
        <f>F280^2</f>
        <v>6.416715538433045e-06</v>
      </c>
      <c r="I280" s="2">
        <f>G280^2</f>
        <v>4.2270136514000626e-07</v>
      </c>
      <c r="J280" s="2">
        <f>LN(1+F280+E280)</f>
        <v>-0.002504360742715455</v>
      </c>
      <c r="K280" s="2">
        <f>LN(1+G280+E280)</f>
        <v>-0.0006184498538778246</v>
      </c>
      <c r="L280" s="2">
        <f>LN(1+E280)</f>
        <v>3.1895715951315844e-05</v>
      </c>
      <c r="M280" s="2">
        <f>LN(1+C280+E280)</f>
        <v>-0.0022949944545762333</v>
      </c>
      <c r="N280" s="2">
        <f>LN(1+D280+E280)</f>
        <v>-0.001091559839842025</v>
      </c>
      <c r="O280" s="2">
        <f>LN(1+C280+E280+Inputs!$B$7/Inputs!$B$9)</f>
        <v>-0.0022850510751430096</v>
      </c>
      <c r="P280" s="2">
        <f>LN(1+D280+E280+Inputs!$B$8/Inputs!$B$9)</f>
        <v>-0.001091559839842025</v>
      </c>
      <c r="Q280" s="2">
        <f>LN(1+E280+Inputs!$B$6/Inputs!$B$9)</f>
        <v>5.173615612840288e-05</v>
      </c>
    </row>
    <row r="281" spans="1:17">
      <c r="A281" s="3">
        <v>42776</v>
      </c>
      <c r="B281" t="s">
        <v>54</v>
      </c>
      <c r="C281" s="2">
        <v>-0.006126514870792187</v>
      </c>
      <c r="D281" s="2">
        <v>0.002856892318826775</v>
      </c>
      <c r="E281" s="2">
        <v>3.197527350913805E-05</v>
      </c>
      <c r="F281" s="2">
        <f>Inputs!$E$2*C281+Inputs!$F$2*D281</f>
        <v>-0.0031870765053374</v>
      </c>
      <c r="G281" s="2">
        <f>Inputs!$E$3*C281+Inputs!$F$3*D281</f>
        <v>0.00526622524383</v>
      </c>
      <c r="H281" s="2">
        <f>F281^2</f>
        <v>1.0157456650873654e-05</v>
      </c>
      <c r="I281" s="2">
        <f>G281^2</f>
        <v>2.7733128318752342e-05</v>
      </c>
      <c r="J281" s="2">
        <f>LN(1+F281+E281)</f>
        <v>-0.003160089057880554</v>
      </c>
      <c r="K281" s="2">
        <f>LN(1+G281+E281)</f>
        <v>0.005284214431951416</v>
      </c>
      <c r="L281" s="2">
        <f>LN(1+E281)</f>
        <v>3.1974762310794244e-05</v>
      </c>
      <c r="M281" s="2">
        <f>LN(1+C281+E281)</f>
        <v>-0.00611318710766652</v>
      </c>
      <c r="N281" s="2">
        <f>LN(1+D281+E281)</f>
        <v>0.0028847028333830755</v>
      </c>
      <c r="O281" s="2">
        <f>LN(1+C281+E281+Inputs!$B$7/Inputs!$B$9)</f>
        <v>-0.006103205690112247</v>
      </c>
      <c r="P281" s="2">
        <f>LN(1+D281+E281+Inputs!$B$8/Inputs!$B$9)</f>
        <v>0.0028847028333830755</v>
      </c>
      <c r="Q281" s="2">
        <f>LN(1+E281+Inputs!$B$6/Inputs!$B$9)</f>
        <v>5.1815200919582334e-05</v>
      </c>
    </row>
    <row r="282" spans="1:17">
      <c r="A282" s="3">
        <v>42779</v>
      </c>
      <c r="B282" t="s">
        <v>54</v>
      </c>
      <c r="C282" s="2">
        <v>-0.01052568987100506</v>
      </c>
      <c r="D282" s="2">
        <v>-0.005317044791451551</v>
      </c>
      <c r="E282" s="2">
        <v>3.205432239296781E-05</v>
      </c>
      <c r="F282" s="2">
        <f>Inputs!$E$2*C282+Inputs!$F$2*D282</f>
        <v>-0.011610778771675202</v>
      </c>
      <c r="G282" s="2">
        <f>Inputs!$E$3*C282+Inputs!$F$3*D282</f>
        <v>-0.0032227467884409005</v>
      </c>
      <c r="H282" s="2">
        <f>F282^2</f>
        <v>0.0001348101836847835</v>
      </c>
      <c r="I282" s="2">
        <f>G282^2</f>
        <v>1.0386096862406139e-05</v>
      </c>
      <c r="J282" s="2">
        <f>LN(1+F282+E282)</f>
        <v>-0.011646279855803885</v>
      </c>
      <c r="K282" s="2">
        <f>LN(1+G282+E282)</f>
        <v>-0.003195793578865941</v>
      </c>
      <c r="L282" s="2">
        <f>LN(1+E282)</f>
        <v>3.205380866424636e-05</v>
      </c>
      <c r="M282" s="2">
        <f>LN(1+C282+E282)</f>
        <v>-0.010549081972947653</v>
      </c>
      <c r="N282" s="2">
        <f>LN(1+D282+E282)</f>
        <v>-0.0052990054322951015</v>
      </c>
      <c r="O282" s="2">
        <f>LN(1+C282+E282+Inputs!$B$7/Inputs!$B$9)</f>
        <v>-0.010539056180748591</v>
      </c>
      <c r="P282" s="2">
        <f>LN(1+D282+E282+Inputs!$B$8/Inputs!$B$9)</f>
        <v>-0.0052990054322951015</v>
      </c>
      <c r="Q282" s="2">
        <f>LN(1+E282+Inputs!$B$6/Inputs!$B$9)</f>
        <v>5.189424570473575e-05</v>
      </c>
    </row>
    <row r="283" spans="1:17">
      <c r="A283" s="3">
        <v>42780</v>
      </c>
      <c r="B283" t="s">
        <v>54</v>
      </c>
      <c r="C283" s="2">
        <v>-0.0006242863744400388</v>
      </c>
      <c r="D283" s="2">
        <v>0.004931124000685179</v>
      </c>
      <c r="E283" s="2">
        <v>3.213337127679757E-05</v>
      </c>
      <c r="F283" s="2">
        <f>Inputs!$E$2*C283+Inputs!$F$2*D283</f>
        <v>0.002459245300859</v>
      </c>
      <c r="G283" s="2">
        <f>Inputs!$E$3*C283+Inputs!$F$3*D283</f>
        <v>0.006104634713154</v>
      </c>
      <c r="H283" s="2">
        <f>F283^2</f>
        <v>6.047887449797074e-06</v>
      </c>
      <c r="I283" s="2">
        <f>G283^2</f>
        <v>3.7266564981044816e-05</v>
      </c>
      <c r="J283" s="2">
        <f>LN(1+F283+E283)</f>
        <v>0.002488280333315088</v>
      </c>
      <c r="K283" s="2">
        <f>LN(1+G283+E283)</f>
        <v>0.0061180148070711085</v>
      </c>
      <c r="L283" s="2">
        <f>LN(1+E283)</f>
        <v>3.213285501122811e-05</v>
      </c>
      <c r="M283" s="2">
        <f>LN(1+C283+E283)</f>
        <v>-0.0005923283949951494</v>
      </c>
      <c r="N283" s="2">
        <f>LN(1+D283+E283)</f>
        <v>0.004950981013818723</v>
      </c>
      <c r="O283" s="2">
        <f>LN(1+C283+E283+Inputs!$B$7/Inputs!$B$9)</f>
        <v>-0.0005824019313275393</v>
      </c>
      <c r="P283" s="2">
        <f>LN(1+D283+E283+Inputs!$B$8/Inputs!$B$9)</f>
        <v>0.004950981013818723</v>
      </c>
      <c r="Q283" s="2">
        <f>LN(1+E283+Inputs!$B$6/Inputs!$B$9)</f>
        <v>5.197329048341905e-05</v>
      </c>
    </row>
    <row r="284" spans="1:17">
      <c r="A284" s="3">
        <v>42781</v>
      </c>
      <c r="B284" t="s">
        <v>54</v>
      </c>
      <c r="C284" s="2">
        <v>-0.006228963038045579</v>
      </c>
      <c r="D284" s="2">
        <v>0.008015553717987713</v>
      </c>
      <c r="E284" s="2">
        <v>3.221242016062734E-05</v>
      </c>
      <c r="F284" s="2">
        <f>Inputs!$E$2*C284+Inputs!$F$2*D284</f>
        <v>-0.00017383819964400006</v>
      </c>
      <c r="G284" s="2">
        <f>Inputs!$E$3*C284+Inputs!$F$3*D284</f>
        <v>0.011487353372999401</v>
      </c>
      <c r="H284" s="2">
        <f>F284^2</f>
        <v>3.021971965546722e-08</v>
      </c>
      <c r="I284" s="2">
        <f>G284^2</f>
        <v>0.00013195928751616072</v>
      </c>
      <c r="J284" s="2">
        <f>LN(1+F284+E284)</f>
        <v>-0.00014163580936066782</v>
      </c>
      <c r="K284" s="2">
        <f>LN(1+G284+E284)</f>
        <v>0.011453720783279397</v>
      </c>
      <c r="L284" s="2">
        <f>LN(1+E284)</f>
        <v>3.221190135218357e-05</v>
      </c>
      <c r="M284" s="2">
        <f>LN(1+C284+E284)</f>
        <v>-0.006216030165292483</v>
      </c>
      <c r="N284" s="2">
        <f>LN(1+D284+E284)</f>
        <v>0.008015555568261019</v>
      </c>
      <c r="O284" s="2">
        <f>LN(1+C284+E284+Inputs!$B$7/Inputs!$B$9)</f>
        <v>-0.006206047721171047</v>
      </c>
      <c r="P284" s="2">
        <f>LN(1+D284+E284+Inputs!$B$8/Inputs!$B$9)</f>
        <v>0.008015555568261019</v>
      </c>
      <c r="Q284" s="2">
        <f>LN(1+E284+Inputs!$B$6/Inputs!$B$9)</f>
        <v>5.205233525607631e-05</v>
      </c>
    </row>
    <row r="285" spans="1:17">
      <c r="A285" s="3">
        <v>42782</v>
      </c>
      <c r="B285" t="s">
        <v>54</v>
      </c>
      <c r="C285" s="2">
        <v>0.01575775441046847</v>
      </c>
      <c r="D285" s="2">
        <v>-0.005421340140170372</v>
      </c>
      <c r="E285" s="2">
        <v>3.22914690444571E-05</v>
      </c>
      <c r="F285" s="2">
        <f>Inputs!$E$2*C285+Inputs!$F$2*D285</f>
        <v>0.0093533994442724</v>
      </c>
      <c r="G285" s="2">
        <f>Inputs!$E$3*C285+Inputs!$F$3*D285</f>
        <v>-0.0112329344913444</v>
      </c>
      <c r="H285" s="2">
        <f>F285^2</f>
        <v>8.748608116411525e-05</v>
      </c>
      <c r="I285" s="2">
        <f>G285^2</f>
        <v>0.00012617881728683466</v>
      </c>
      <c r="J285" s="2">
        <f>LN(1+F285+E285)</f>
        <v>0.009341918989701554</v>
      </c>
      <c r="K285" s="2">
        <f>LN(1+G285+E285)</f>
        <v>-0.011263842584646685</v>
      </c>
      <c r="L285" s="2">
        <f>LN(1+E285)</f>
        <v>3.229094768578053e-05</v>
      </c>
      <c r="M285" s="2">
        <f>LN(1+C285+E285)</f>
        <v>0.01566668004531468</v>
      </c>
      <c r="N285" s="2">
        <f>LN(1+D285+E285)</f>
        <v>-0.005403621974992677</v>
      </c>
      <c r="O285" s="2">
        <f>LN(1+C285+E285+Inputs!$B$7/Inputs!$B$9)</f>
        <v>0.015676446420282295</v>
      </c>
      <c r="P285" s="2">
        <f>LN(1+D285+E285+Inputs!$B$8/Inputs!$B$9)</f>
        <v>-0.005403621974992677</v>
      </c>
      <c r="Q285" s="2">
        <f>LN(1+E285+Inputs!$B$6/Inputs!$B$9)</f>
        <v>5.213138002137532e-05</v>
      </c>
    </row>
    <row r="286" spans="1:17">
      <c r="A286" s="3">
        <v>42783</v>
      </c>
      <c r="B286" t="s">
        <v>54</v>
      </c>
      <c r="C286" s="2">
        <v>-0.0007160007517119784</v>
      </c>
      <c r="D286" s="2">
        <v>-0.004215115669151605</v>
      </c>
      <c r="E286" s="2">
        <v>3.237051792828686E-05</v>
      </c>
      <c r="F286" s="2">
        <f>Inputs!$E$2*C286+Inputs!$F$2*D286</f>
        <v>-0.0031018700028607998</v>
      </c>
      <c r="G286" s="2">
        <f>Inputs!$E$3*C286+Inputs!$F$3*D286</f>
        <v>-0.004843338577468799</v>
      </c>
      <c r="H286" s="2">
        <f>F286^2</f>
        <v>9.621597514647659e-06</v>
      </c>
      <c r="I286" s="2">
        <f>G286^2</f>
        <v>2.3457928575997493e-05</v>
      </c>
      <c r="J286" s="2">
        <f>LN(1+F286+E286)</f>
        <v>-0.003074220060821878</v>
      </c>
      <c r="K286" s="2">
        <f>LN(1+G286+E286)</f>
        <v>-0.004822578018102732</v>
      </c>
      <c r="L286" s="2">
        <f>LN(1+E286)</f>
        <v>3.2369994014017305e-05</v>
      </c>
      <c r="M286" s="2">
        <f>LN(1+C286+E286)</f>
        <v>-0.0006838640154850971</v>
      </c>
      <c r="N286" s="2">
        <f>LN(1+D286+E286)</f>
        <v>-0.004191517299376062</v>
      </c>
      <c r="O286" s="2">
        <f>LN(1+C286+E286+Inputs!$B$7/Inputs!$B$9)</f>
        <v>-0.0006739366431553991</v>
      </c>
      <c r="P286" s="2">
        <f>LN(1+D286+E286+Inputs!$B$8/Inputs!$B$9)</f>
        <v>-0.004191517299376062</v>
      </c>
      <c r="Q286" s="2">
        <f>LN(1+E286+Inputs!$B$6/Inputs!$B$9)</f>
        <v>5.2210424781314395e-05</v>
      </c>
    </row>
    <row r="287" spans="1:17">
      <c r="A287" s="3">
        <v>42787</v>
      </c>
      <c r="B287" t="s">
        <v>54</v>
      </c>
      <c r="C287" s="2">
        <v>-0.001687068741652909</v>
      </c>
      <c r="D287" s="2">
        <v>0.0003150043269147688</v>
      </c>
      <c r="E287" s="2">
        <v>3.244956681211662E-05</v>
      </c>
      <c r="F287" s="2">
        <f>Inputs!$E$2*C287+Inputs!$F$2*D287</f>
        <v>-0.0011606523971734002</v>
      </c>
      <c r="G287" s="2">
        <f>Inputs!$E$3*C287+Inputs!$F$3*D287</f>
        <v>0.0008841258147938999</v>
      </c>
      <c r="H287" s="2">
        <f>F287^2</f>
        <v>1.3471139870643601e-06</v>
      </c>
      <c r="I287" s="2">
        <f>G287^2</f>
        <v>7.816784563849774e-07</v>
      </c>
      <c r="J287" s="2">
        <f>LN(1+F287+E287)</f>
        <v>-0.001128839730254537</v>
      </c>
      <c r="K287" s="2">
        <f>LN(1+G287+E287)</f>
        <v>0.000916155582889279</v>
      </c>
      <c r="L287" s="2">
        <f>LN(1+E287)</f>
        <v>3.244904033622781e-05</v>
      </c>
      <c r="M287" s="2">
        <f>LN(1+C287+E287)</f>
        <v>-0.0016559895690101392</v>
      </c>
      <c r="N287" s="2">
        <f>LN(1+D287+E287)</f>
        <v>0.0003473935456011799</v>
      </c>
      <c r="O287" s="2">
        <f>LN(1+C287+E287+Inputs!$B$7/Inputs!$B$9)</f>
        <v>-0.0016460525413837495</v>
      </c>
      <c r="P287" s="2">
        <f>LN(1+D287+E287+Inputs!$B$8/Inputs!$B$9)</f>
        <v>0.0003473935456011799</v>
      </c>
      <c r="Q287" s="2">
        <f>LN(1+E287+Inputs!$B$6/Inputs!$B$9)</f>
        <v>5.228946953522743e-05</v>
      </c>
    </row>
    <row r="288" spans="1:17">
      <c r="A288" s="3">
        <v>42788</v>
      </c>
      <c r="B288" t="s">
        <v>54</v>
      </c>
      <c r="C288" s="2">
        <v>-0.002960118867785888</v>
      </c>
      <c r="D288" s="2">
        <v>0.009083922851261072</v>
      </c>
      <c r="E288" s="2">
        <v>3.252861569594637E-05</v>
      </c>
      <c r="F288" s="2">
        <f>Inputs!$E$2*C288+Inputs!$F$2*D288</f>
        <v>0.0030822586165277998</v>
      </c>
      <c r="G288" s="2">
        <f>Inputs!$E$3*C288+Inputs!$F$3*D288</f>
        <v>0.011788743081849</v>
      </c>
      <c r="H288" s="2">
        <f>F288^2</f>
        <v>9.500318179159866e-06</v>
      </c>
      <c r="I288" s="2">
        <f>G288^2</f>
        <v>0.00013897446344984267</v>
      </c>
      <c r="J288" s="2">
        <f>LN(1+F288+E288)</f>
        <v>0.003109946332117018</v>
      </c>
      <c r="K288" s="2">
        <f>LN(1+G288+E288)</f>
        <v>0.011751946273548135</v>
      </c>
      <c r="L288" s="2">
        <f>LN(1+E288)</f>
        <v>3.252808665196794e-05</v>
      </c>
      <c r="M288" s="2">
        <f>LN(1+C288+E288)</f>
        <v>-0.0029318840267549967</v>
      </c>
      <c r="N288" s="2">
        <f>LN(1+D288+E288)</f>
        <v>0.00907514746411976</v>
      </c>
      <c r="O288" s="2">
        <f>LN(1+C288+E288+Inputs!$B$7/Inputs!$B$9)</f>
        <v>-0.0029219343125015287</v>
      </c>
      <c r="P288" s="2">
        <f>LN(1+D288+E288+Inputs!$B$8/Inputs!$B$9)</f>
        <v>0.00907514746411976</v>
      </c>
      <c r="Q288" s="2">
        <f>LN(1+E288+Inputs!$B$6/Inputs!$B$9)</f>
        <v>5.2368514282670355e-05</v>
      </c>
    </row>
    <row r="289" spans="1:17">
      <c r="A289" s="3">
        <v>42789</v>
      </c>
      <c r="B289" t="s">
        <v>54</v>
      </c>
      <c r="C289" s="2">
        <v>0.0141896151218326</v>
      </c>
      <c r="D289" s="2">
        <v>-0.002484136830992596</v>
      </c>
      <c r="E289" s="2">
        <v>3.260766457977613E-05</v>
      </c>
      <c r="F289" s="2">
        <f>Inputs!$E$2*C289+Inputs!$F$2*D289</f>
        <v>0.0098612099988706</v>
      </c>
      <c r="G289" s="2">
        <f>Inputs!$E$3*C289+Inputs!$F$3*D289</f>
        <v>-0.0072378487337415</v>
      </c>
      <c r="H289" s="2">
        <f>F289^2</f>
        <v>9.72434626418255e-05</v>
      </c>
      <c r="I289" s="2">
        <f>G289^2</f>
        <v>5.238645429252343e-05</v>
      </c>
      <c r="J289" s="2">
        <f>LN(1+F289+E289)</f>
        <v>0.009845194300227907</v>
      </c>
      <c r="K289" s="2">
        <f>LN(1+G289+E289)</f>
        <v>-0.007231324184200803</v>
      </c>
      <c r="L289" s="2">
        <f>LN(1+E289)</f>
        <v>3.26071329616818e-05</v>
      </c>
      <c r="M289" s="2">
        <f>LN(1+C289+E289)</f>
        <v>0.014122035779834435</v>
      </c>
      <c r="N289" s="2">
        <f>LN(1+D289+E289)</f>
        <v>-0.0024545390843138644</v>
      </c>
      <c r="O289" s="2">
        <f>LN(1+C289+E289+Inputs!$B$7/Inputs!$B$9)</f>
        <v>0.014131817251960223</v>
      </c>
      <c r="P289" s="2">
        <f>LN(1+D289+E289+Inputs!$B$8/Inputs!$B$9)</f>
        <v>-0.0024545390843138644</v>
      </c>
      <c r="Q289" s="2">
        <f>LN(1+E289+Inputs!$B$6/Inputs!$B$9)</f>
        <v>5.244755902408724e-05</v>
      </c>
    </row>
    <row r="290" spans="1:17">
      <c r="A290" s="3">
        <v>42790</v>
      </c>
      <c r="B290" t="s">
        <v>54</v>
      </c>
      <c r="C290" s="2">
        <v>-0.007672892932343435</v>
      </c>
      <c r="D290" s="2">
        <v>-0.004389908538711315</v>
      </c>
      <c r="E290" s="2">
        <v>3.268671346360589E-05</v>
      </c>
      <c r="F290" s="2">
        <f>Inputs!$E$2*C290+Inputs!$F$2*D290</f>
        <v>-0.008772259469101</v>
      </c>
      <c r="G290" s="2">
        <f>Inputs!$E$3*C290+Inputs!$F$3*D290</f>
        <v>-0.0029660223667503</v>
      </c>
      <c r="H290" s="2">
        <f>F290^2</f>
        <v>7.695253619323217e-05</v>
      </c>
      <c r="I290" s="2">
        <f>G290^2</f>
        <v>8.79728868006305e-06</v>
      </c>
      <c r="J290" s="2">
        <f>LN(1+F290+E290)</f>
        <v>-0.008777986800272431</v>
      </c>
      <c r="K290" s="2">
        <f>LN(1+G290+E290)</f>
        <v>-0.002937646314120906</v>
      </c>
      <c r="L290" s="2">
        <f>LN(1+E290)</f>
        <v>3.26861792649253e-05</v>
      </c>
      <c r="M290" s="2">
        <f>LN(1+C290+E290)</f>
        <v>-0.007669542111448856</v>
      </c>
      <c r="N290" s="2">
        <f>LN(1+D290+E290)</f>
        <v>-0.0043667421811976305</v>
      </c>
      <c r="O290" s="2">
        <f>LN(1+C290+E290+Inputs!$B$7/Inputs!$B$9)</f>
        <v>-0.007659545147248165</v>
      </c>
      <c r="P290" s="2">
        <f>LN(1+D290+E290+Inputs!$B$8/Inputs!$B$9)</f>
        <v>-0.0043667421811976305</v>
      </c>
      <c r="Q290" s="2">
        <f>LN(1+E290+Inputs!$B$6/Inputs!$B$9)</f>
        <v>5.252660375903403e-05</v>
      </c>
    </row>
    <row r="291" spans="1:17">
      <c r="A291" s="3">
        <v>42793</v>
      </c>
      <c r="B291" t="s">
        <v>54</v>
      </c>
      <c r="C291" s="2">
        <v>-0.001230090098623739</v>
      </c>
      <c r="D291" s="2">
        <v>1.732863748552812E-05</v>
      </c>
      <c r="E291" s="2">
        <v>3.276576234743566E-05</v>
      </c>
      <c r="F291" s="2">
        <f>Inputs!$E$2*C291+Inputs!$F$2*D291</f>
        <v>-0.0009736748964076</v>
      </c>
      <c r="G291" s="2">
        <f>Inputs!$E$3*C291+Inputs!$F$3*D291</f>
        <v>0.00038982139457039995</v>
      </c>
      <c r="H291" s="2">
        <f>F291^2</f>
        <v>9.480428038943504e-07</v>
      </c>
      <c r="I291" s="2">
        <f>G291^2</f>
        <v>1.5196071966481144e-07</v>
      </c>
      <c r="J291" s="2">
        <f>LN(1+F291+E291)</f>
        <v>-0.000941352066921433</v>
      </c>
      <c r="K291" s="2">
        <f>LN(1+G291+E291)</f>
        <v>0.000422497892111857</v>
      </c>
      <c r="L291" s="2">
        <f>LN(1+E291)</f>
        <v>3.276522556103233e-05</v>
      </c>
      <c r="M291" s="2">
        <f>LN(1+C291+E291)</f>
        <v>-0.0011980417017299842</v>
      </c>
      <c r="N291" s="2">
        <f>LN(1+D291+E291)</f>
        <v>5.0093145150399285e-05</v>
      </c>
      <c r="O291" s="2">
        <f>LN(1+C291+E291+Inputs!$B$7/Inputs!$B$9)</f>
        <v>-0.0011881092236797897</v>
      </c>
      <c r="P291" s="2">
        <f>LN(1+D291+E291+Inputs!$B$8/Inputs!$B$9)</f>
        <v>5.0093145150399285e-05</v>
      </c>
      <c r="Q291" s="2">
        <f>LN(1+E291+Inputs!$B$6/Inputs!$B$9)</f>
        <v>5.2605648486844615e-05</v>
      </c>
    </row>
    <row r="292" spans="1:17">
      <c r="A292" s="3">
        <v>42794</v>
      </c>
      <c r="B292" t="s">
        <v>54</v>
      </c>
      <c r="C292" s="2">
        <v>-0.006032560500784662</v>
      </c>
      <c r="D292" s="2">
        <v>0.00720925670230947</v>
      </c>
      <c r="E292" s="2">
        <v>3.284481123126542E-05</v>
      </c>
      <c r="F292" s="2">
        <f>Inputs!$E$2*C292+Inputs!$F$2*D292</f>
        <v>-0.0005004943792425998</v>
      </c>
      <c r="G292" s="2">
        <f>Inputs!$E$3*C292+Inputs!$F$3*D292</f>
        <v>0.0104608761930063</v>
      </c>
      <c r="H292" s="2">
        <f>F292^2</f>
        <v>2.5049462365343526e-07</v>
      </c>
      <c r="I292" s="2">
        <f>G292^2</f>
        <v>0.00010942993072540596</v>
      </c>
      <c r="J292" s="2">
        <f>LN(1+F292+E292)</f>
        <v>-0.00046775895017383726</v>
      </c>
      <c r="K292" s="2">
        <f>LN(1+G292+E292)</f>
        <v>0.010439044090859924</v>
      </c>
      <c r="L292" s="2">
        <f>LN(1+E292)</f>
        <v>3.2844271852001237e-05</v>
      </c>
      <c r="M292" s="2">
        <f>LN(1+C292+E292)</f>
        <v>-0.00601778629899833</v>
      </c>
      <c r="N292" s="2">
        <f>LN(1+D292+E292)</f>
        <v>0.007216003423964722</v>
      </c>
      <c r="O292" s="2">
        <f>LN(1+C292+E292+Inputs!$B$7/Inputs!$B$9)</f>
        <v>-0.0060078058336291915</v>
      </c>
      <c r="P292" s="2">
        <f>LN(1+D292+E292+Inputs!$B$8/Inputs!$B$9)</f>
        <v>0.007216003423964722</v>
      </c>
      <c r="Q292" s="2">
        <f>LN(1+E292+Inputs!$B$6/Inputs!$B$9)</f>
        <v>5.2684693209517294e-05</v>
      </c>
    </row>
    <row r="293" spans="1:17">
      <c r="A293" s="3">
        <v>42795</v>
      </c>
      <c r="B293" t="s">
        <v>55</v>
      </c>
      <c r="C293" s="2">
        <v>-0.0008776765876458325</v>
      </c>
      <c r="D293" s="2">
        <v>-0.008404294585668918</v>
      </c>
      <c r="E293" s="2">
        <v>3.292386011509518E-05</v>
      </c>
      <c r="F293" s="2">
        <f>Inputs!$E$2*C293+Inputs!$F$2*D293</f>
        <v>-0.005744718021518201</v>
      </c>
      <c r="G293" s="2">
        <f>Inputs!$E$3*C293+Inputs!$F$3*D293</f>
        <v>-0.009821850526509001</v>
      </c>
      <c r="H293" s="2">
        <f>F293^2</f>
        <v>3.300178514675599e-05</v>
      </c>
      <c r="I293" s="2">
        <f>G293^2</f>
        <v>9.646874776508515e-05</v>
      </c>
      <c r="J293" s="2">
        <f>LN(1+F293+E293)</f>
        <v>-0.005728168839972781</v>
      </c>
      <c r="K293" s="2">
        <f>LN(1+G293+E293)</f>
        <v>-0.00983715319105922</v>
      </c>
      <c r="L293" s="2">
        <f>LN(1+E293)</f>
        <v>3.2923318136721824e-05</v>
      </c>
      <c r="M293" s="2">
        <f>LN(1+C293+E293)</f>
        <v>-0.0008451097321843046</v>
      </c>
      <c r="N293" s="2">
        <f>LN(1+D293+E293)</f>
        <v>-0.008406607440338608</v>
      </c>
      <c r="O293" s="2">
        <f>LN(1+C293+E293+Inputs!$B$7/Inputs!$B$9)</f>
        <v>-0.0008351807589872242</v>
      </c>
      <c r="P293" s="2">
        <f>LN(1+D293+E293+Inputs!$B$8/Inputs!$B$9)</f>
        <v>-0.008406607440338608</v>
      </c>
      <c r="Q293" s="2">
        <f>LN(1+E293+Inputs!$B$6/Inputs!$B$9)</f>
        <v>5.2763737925941905e-05</v>
      </c>
    </row>
    <row r="294" spans="1:17">
      <c r="A294" s="3">
        <v>42796</v>
      </c>
      <c r="B294" t="s">
        <v>55</v>
      </c>
      <c r="C294" s="2">
        <v>-0.0001619883436105412</v>
      </c>
      <c r="D294" s="2">
        <v>-0.0004261459645429076</v>
      </c>
      <c r="E294" s="2">
        <v>3.300290899892494E-05</v>
      </c>
      <c r="F294" s="2">
        <f>Inputs!$E$2*C294+Inputs!$F$2*D294</f>
        <v>-0.0003852782536146</v>
      </c>
      <c r="G294" s="2">
        <f>Inputs!$E$3*C294+Inputs!$F$3*D294</f>
        <v>-0.00046277865436829995</v>
      </c>
      <c r="H294" s="2">
        <f>F294^2</f>
        <v>1.4843933270831604e-07</v>
      </c>
      <c r="I294" s="2">
        <f>G294^2</f>
        <v>2.1416408293893442e-07</v>
      </c>
      <c r="J294" s="2">
        <f>LN(1+F294+E294)</f>
        <v>-0.0003523374081508468</v>
      </c>
      <c r="K294" s="2">
        <f>LN(1+G294+E294)</f>
        <v>-0.00042986812543436366</v>
      </c>
      <c r="L294" s="2">
        <f>LN(1+E294)</f>
        <v>3.300236441497206e-05</v>
      </c>
      <c r="M294" s="2">
        <f>LN(1+C294+E294)</f>
        <v>-0.0001289937539485998</v>
      </c>
      <c r="N294" s="2">
        <f>LN(1+D294+E294)</f>
        <v>-0.00039322035653601133</v>
      </c>
      <c r="O294" s="2">
        <f>LN(1+C294+E294+Inputs!$B$7/Inputs!$B$9)</f>
        <v>-0.00011907188846732155</v>
      </c>
      <c r="P294" s="2">
        <f>LN(1+D294+E294+Inputs!$B$8/Inputs!$B$9)</f>
        <v>-0.00039322035653601133</v>
      </c>
      <c r="Q294" s="2">
        <f>LN(1+E294+Inputs!$B$6/Inputs!$B$9)</f>
        <v>5.284278263589642e-05</v>
      </c>
    </row>
    <row r="295" spans="1:17">
      <c r="A295" s="3">
        <v>42797</v>
      </c>
      <c r="B295" t="s">
        <v>55</v>
      </c>
      <c r="C295" s="2">
        <v>0.008201611471223436</v>
      </c>
      <c r="D295" s="2">
        <v>0.008393056226993255</v>
      </c>
      <c r="E295" s="2">
        <v>3.30819578827547E-05</v>
      </c>
      <c r="F295" s="2">
        <f>Inputs!$E$2*C295+Inputs!$F$2*D295</f>
        <v>0.011597122913174199</v>
      </c>
      <c r="G295" s="2">
        <f>Inputs!$E$3*C295+Inputs!$F$3*D295</f>
        <v>0.0076111840310247</v>
      </c>
      <c r="H295" s="2">
        <f>F295^2</f>
        <v>0.00013449325986327002</v>
      </c>
      <c r="I295" s="2">
        <f>G295^2</f>
        <v>5.79301223541254e-05</v>
      </c>
      <c r="J295" s="2">
        <f>LN(1+F295+E295)</f>
        <v>0.011563093880230937</v>
      </c>
      <c r="K295" s="2">
        <f>LN(1+G295+E295)</f>
        <v>0.007615196636241869</v>
      </c>
      <c r="L295" s="2">
        <f>LN(1+E295)</f>
        <v>3.308141068719602e-05</v>
      </c>
      <c r="M295" s="2">
        <f>LN(1+C295+E295)</f>
        <v>0.008200973331139927</v>
      </c>
      <c r="N295" s="2">
        <f>LN(1+D295+E295)</f>
        <v>0.008390836448768809</v>
      </c>
      <c r="O295" s="2">
        <f>LN(1+C295+E295+Inputs!$B$7/Inputs!$B$9)</f>
        <v>0.008210812891490369</v>
      </c>
      <c r="P295" s="2">
        <f>LN(1+D295+E295+Inputs!$B$8/Inputs!$B$9)</f>
        <v>0.008390836448768809</v>
      </c>
      <c r="Q295" s="2">
        <f>LN(1+E295+Inputs!$B$6/Inputs!$B$9)</f>
        <v>5.29218273398249e-05</v>
      </c>
    </row>
    <row r="296" spans="1:17">
      <c r="A296" s="3">
        <v>42800</v>
      </c>
      <c r="B296" t="s">
        <v>55</v>
      </c>
      <c r="C296" s="2">
        <v>-0.01045009305320929</v>
      </c>
      <c r="D296" s="2">
        <v>0.0003995474032114587</v>
      </c>
      <c r="E296" s="2">
        <v>3.316100676658446E-05</v>
      </c>
      <c r="F296" s="2">
        <f>Inputs!$E$2*C296+Inputs!$F$2*D296</f>
        <v>-0.008120346000640601</v>
      </c>
      <c r="G296" s="2">
        <f>Inputs!$E$3*C296+Inputs!$F$3*D296</f>
        <v>0.0036144847998159</v>
      </c>
      <c r="H296" s="2">
        <f>F296^2</f>
        <v>6.59400191701198e-05</v>
      </c>
      <c r="I296" s="2">
        <f>G296^2</f>
        <v>1.3064500368100187e-05</v>
      </c>
      <c r="J296" s="2">
        <f>LN(1+F296+E296)</f>
        <v>-0.008120063658312433</v>
      </c>
      <c r="K296" s="2">
        <f>LN(1+G296+E296)</f>
        <v>0.003641009280186716</v>
      </c>
      <c r="L296" s="2">
        <f>LN(1+E296)</f>
        <v>3.316045695294963e-05</v>
      </c>
      <c r="M296" s="2">
        <f>LN(1+C296+E296)</f>
        <v>-0.010471568040578022</v>
      </c>
      <c r="N296" s="2">
        <f>LN(1+D296+E296)</f>
        <v>0.0004326148186914849</v>
      </c>
      <c r="O296" s="2">
        <f>LN(1+C296+E296+Inputs!$B$7/Inputs!$B$9)</f>
        <v>-0.010461543025483524</v>
      </c>
      <c r="P296" s="2">
        <f>LN(1+D296+E296+Inputs!$B$8/Inputs!$B$9)</f>
        <v>0.0004326148186914849</v>
      </c>
      <c r="Q296" s="2">
        <f>LN(1+E296+Inputs!$B$6/Inputs!$B$9)</f>
        <v>5.300087203728328e-05</v>
      </c>
    </row>
    <row r="297" spans="1:17">
      <c r="A297" s="3">
        <v>42801</v>
      </c>
      <c r="B297" t="s">
        <v>55</v>
      </c>
      <c r="C297" s="2">
        <v>-5.595334055278115E-05</v>
      </c>
      <c r="D297" s="2">
        <v>-0.001117025010489958</v>
      </c>
      <c r="E297" s="2">
        <v>3.324005565041422E-05</v>
      </c>
      <c r="F297" s="2">
        <f>Inputs!$E$2*C297+Inputs!$F$2*D297</f>
        <v>-0.0007149776787364</v>
      </c>
      <c r="G297" s="2">
        <f>Inputs!$E$3*C297+Inputs!$F$3*D297</f>
        <v>-0.0013236440104221</v>
      </c>
      <c r="H297" s="2">
        <f>F297^2</f>
        <v>5.111930810912907e-07</v>
      </c>
      <c r="I297" s="2">
        <f>G297^2</f>
        <v>1.7520334663263001e-06</v>
      </c>
      <c r="J297" s="2">
        <f>LN(1+F297+E297)</f>
        <v>-0.000681970111850027</v>
      </c>
      <c r="K297" s="2">
        <f>LN(1+G297+E297)</f>
        <v>-0.0012912372428846588</v>
      </c>
      <c r="L297" s="2">
        <f>LN(1+E297)</f>
        <v>3.323950321156678e-05</v>
      </c>
      <c r="M297" s="2">
        <f>LN(1+C297+E297)</f>
        <v>-2.2713542853559106e-05</v>
      </c>
      <c r="N297" s="2">
        <f>LN(1+D297+E297)</f>
        <v>-0.0010843726744337173</v>
      </c>
      <c r="O297" s="2">
        <f>LN(1+C297+E297+Inputs!$B$7/Inputs!$B$9)</f>
        <v>-1.2792731808974068e-05</v>
      </c>
      <c r="P297" s="2">
        <f>LN(1+D297+E297+Inputs!$B$8/Inputs!$B$9)</f>
        <v>-0.0010843726744337173</v>
      </c>
      <c r="Q297" s="2">
        <f>LN(1+E297+Inputs!$B$6/Inputs!$B$9)</f>
        <v>5.3079916727605466e-05</v>
      </c>
    </row>
    <row r="298" spans="1:17">
      <c r="A298" s="3">
        <v>42802</v>
      </c>
      <c r="B298" t="s">
        <v>55</v>
      </c>
      <c r="C298" s="2">
        <v>0.01229960186688949</v>
      </c>
      <c r="D298" s="2">
        <v>0.005441892021363846</v>
      </c>
      <c r="E298" s="2">
        <v>3.331910453424398E-05</v>
      </c>
      <c r="F298" s="2">
        <f>Inputs!$E$2*C298+Inputs!$F$2*D298</f>
        <v>0.0131048167063296</v>
      </c>
      <c r="G298" s="2">
        <f>Inputs!$E$3*C298+Inputs!$F$3*D298</f>
        <v>0.0028403898655701004</v>
      </c>
      <c r="H298" s="2">
        <f>F298^2</f>
        <v>0.0001717362209064954</v>
      </c>
      <c r="I298" s="2">
        <f>G298^2</f>
        <v>8.067814588433334e-06</v>
      </c>
      <c r="J298" s="2">
        <f>LN(1+F298+E298)</f>
        <v>0.013052579060630067</v>
      </c>
      <c r="K298" s="2">
        <f>LN(1+G298+E298)</f>
        <v>0.0028695877620288574</v>
      </c>
      <c r="L298" s="2">
        <f>LN(1+E298)</f>
        <v>3.3318549465045805e-05</v>
      </c>
      <c r="M298" s="2">
        <f>LN(1+C298+E298)</f>
        <v>0.012257490057345107</v>
      </c>
      <c r="N298" s="2">
        <f>LN(1+D298+E298)</f>
        <v>0.005460276645616361</v>
      </c>
      <c r="O298" s="2">
        <f>LN(1+C298+E298+Inputs!$B$7/Inputs!$B$9)</f>
        <v>0.012267289784396828</v>
      </c>
      <c r="P298" s="2">
        <f>LN(1+D298+E298+Inputs!$B$8/Inputs!$B$9)</f>
        <v>0.005460276645616361</v>
      </c>
      <c r="Q298" s="2">
        <f>LN(1+E298+Inputs!$B$6/Inputs!$B$9)</f>
        <v>5.3158961412789754e-05</v>
      </c>
    </row>
    <row r="299" spans="1:17">
      <c r="A299" s="3">
        <v>42803</v>
      </c>
      <c r="B299" t="s">
        <v>55</v>
      </c>
      <c r="C299" s="2">
        <v>-0.003996135263244045</v>
      </c>
      <c r="D299" s="2">
        <v>-0.006379208276792126</v>
      </c>
      <c r="E299" s="2">
        <v>3.339815341807374E-05</v>
      </c>
      <c r="F299" s="2">
        <f>Inputs!$E$2*C299+Inputs!$F$2*D299</f>
        <v>-0.0070244331766704</v>
      </c>
      <c r="G299" s="2">
        <f>Inputs!$E$3*C299+Inputs!$F$3*D299</f>
        <v>-0.006456209353177199</v>
      </c>
      <c r="H299" s="2">
        <f>F299^2</f>
        <v>4.93426614535078e-05</v>
      </c>
      <c r="I299" s="2">
        <f>G299^2</f>
        <v>4.168263921205275e-05</v>
      </c>
      <c r="J299" s="2">
        <f>LN(1+F299+E299)</f>
        <v>-0.0070155868037529105</v>
      </c>
      <c r="K299" s="2">
        <f>LN(1+G299+E299)</f>
        <v>-0.0064435261982673945</v>
      </c>
      <c r="L299" s="2">
        <f>LN(1+E299)</f>
        <v>3.339759571205448e-05</v>
      </c>
      <c r="M299" s="2">
        <f>LN(1+C299+E299)</f>
        <v>-0.0039706095570351966</v>
      </c>
      <c r="N299" s="2">
        <f>LN(1+D299+E299)</f>
        <v>-0.006366030364365051</v>
      </c>
      <c r="O299" s="2">
        <f>LN(1+C299+E299+Inputs!$B$7/Inputs!$B$9)</f>
        <v>-0.003960649502441524</v>
      </c>
      <c r="P299" s="2">
        <f>LN(1+D299+E299+Inputs!$B$8/Inputs!$B$9)</f>
        <v>-0.006366030364365051</v>
      </c>
      <c r="Q299" s="2">
        <f>LN(1+E299+Inputs!$B$6/Inputs!$B$9)</f>
        <v>5.323800609150395e-05</v>
      </c>
    </row>
    <row r="300" spans="1:17">
      <c r="A300" s="3">
        <v>42804</v>
      </c>
      <c r="B300" t="s">
        <v>55</v>
      </c>
      <c r="C300" s="2">
        <v>-0.001286160609996437</v>
      </c>
      <c r="D300" s="2">
        <v>0.01246665330706753</v>
      </c>
      <c r="E300" s="2">
        <v>3.34772023019035E-05</v>
      </c>
      <c r="F300" s="2">
        <f>Inputs!$E$2*C300+Inputs!$F$2*D300</f>
        <v>0.006451063496244</v>
      </c>
      <c r="G300" s="2">
        <f>Inputs!$E$3*C300+Inputs!$F$3*D300</f>
        <v>0.0153458321514804</v>
      </c>
      <c r="H300" s="2">
        <f>F300^2</f>
        <v>4.161622023257186e-05</v>
      </c>
      <c r="I300" s="2">
        <f>G300^2</f>
        <v>0.00023549456442140956</v>
      </c>
      <c r="J300" s="2">
        <f>LN(1+F300+E300)</f>
        <v>0.006463606514819483</v>
      </c>
      <c r="K300" s="2">
        <f>LN(1+G300+E300)</f>
        <v>0.015262246480708324</v>
      </c>
      <c r="L300" s="2">
        <f>LN(1+E300)</f>
        <v>3.347664195303689e-05</v>
      </c>
      <c r="M300" s="2">
        <f>LN(1+C300+E300)</f>
        <v>-0.0012534686714137033</v>
      </c>
      <c r="N300" s="2">
        <f>LN(1+D300+E300)</f>
        <v>0.01242264889669221</v>
      </c>
      <c r="O300" s="2">
        <f>LN(1+C300+E300+Inputs!$B$7/Inputs!$B$9)</f>
        <v>-0.0012435356428238261</v>
      </c>
      <c r="P300" s="2">
        <f>LN(1+D300+E300+Inputs!$B$8/Inputs!$B$9)</f>
        <v>0.01242264889669221</v>
      </c>
      <c r="Q300" s="2">
        <f>LN(1+E300+Inputs!$B$6/Inputs!$B$9)</f>
        <v>5.331705076419212e-05</v>
      </c>
    </row>
    <row r="301" spans="1:17">
      <c r="A301" s="3">
        <v>42807</v>
      </c>
      <c r="B301" t="s">
        <v>55</v>
      </c>
      <c r="C301" s="2">
        <v>-0.006614552153141445</v>
      </c>
      <c r="D301" s="2">
        <v>0.003703774742933994</v>
      </c>
      <c r="E301" s="2">
        <v>3.355625118573326E-05</v>
      </c>
      <c r="F301" s="2">
        <f>Inputs!$E$2*C301+Inputs!$F$2*D301</f>
        <v>-0.0030693768767524002</v>
      </c>
      <c r="G301" s="2">
        <f>Inputs!$E$3*C301+Inputs!$F$3*D301</f>
        <v>0.0064288953374631</v>
      </c>
      <c r="H301" s="2">
        <f>F301^2</f>
        <v>9.421074411542319e-06</v>
      </c>
      <c r="I301" s="2">
        <f>G301^2</f>
        <v>4.133069526005478e-05</v>
      </c>
      <c r="J301" s="2">
        <f>LN(1+F301+E301)</f>
        <v>-0.003040438076538328</v>
      </c>
      <c r="K301" s="2">
        <f>LN(1+G301+E301)</f>
        <v>0.0064416594789735255</v>
      </c>
      <c r="L301" s="2">
        <f>LN(1+E301)</f>
        <v>3.355568818754895e-05</v>
      </c>
      <c r="M301" s="2">
        <f>LN(1+C301+E301)</f>
        <v>-0.006602746133459427</v>
      </c>
      <c r="N301" s="2">
        <f>LN(1+D301+E301)</f>
        <v>0.0037303645245801145</v>
      </c>
      <c r="O301" s="2">
        <f>LN(1+C301+E301+Inputs!$B$7/Inputs!$B$9)</f>
        <v>-0.006592759828240198</v>
      </c>
      <c r="P301" s="2">
        <f>LN(1+D301+E301+Inputs!$B$8/Inputs!$B$9)</f>
        <v>0.0037303645245801145</v>
      </c>
      <c r="Q301" s="2">
        <f>LN(1+E301+Inputs!$B$6/Inputs!$B$9)</f>
        <v>5.339609543041019e-05</v>
      </c>
    </row>
    <row r="302" spans="1:17">
      <c r="A302" s="3">
        <v>42808</v>
      </c>
      <c r="B302" t="s">
        <v>55</v>
      </c>
      <c r="C302" s="2">
        <v>-0.01971897565795364</v>
      </c>
      <c r="D302" s="2">
        <v>-0.001934104181198536</v>
      </c>
      <c r="E302" s="2">
        <v>3.363530006956302E-05</v>
      </c>
      <c r="F302" s="2">
        <f>Inputs!$E$2*C302+Inputs!$F$2*D302</f>
        <v>-0.0169356430350826</v>
      </c>
      <c r="G302" s="2">
        <f>Inputs!$E$3*C302+Inputs!$F$3*D302</f>
        <v>0.0035947676799474</v>
      </c>
      <c r="H302" s="2">
        <f>F302^2</f>
        <v>0.0002868160050117418</v>
      </c>
      <c r="I302" s="2">
        <f>G302^2</f>
        <v>1.2922354672794414e-05</v>
      </c>
      <c r="J302" s="2">
        <f>LN(1+F302+E302)</f>
        <v>-0.017046476860364902</v>
      </c>
      <c r="K302" s="2">
        <f>LN(1+G302+E302)</f>
        <v>0.003621836205733391</v>
      </c>
      <c r="L302" s="2">
        <f>LN(1+E302)</f>
        <v>3.3634734416034745e-05</v>
      </c>
      <c r="M302" s="2">
        <f>LN(1+C302+E302)</f>
        <v>-0.019881677585613246</v>
      </c>
      <c r="N302" s="2">
        <f>LN(1+D302+E302)</f>
        <v>-0.0019022770634057374</v>
      </c>
      <c r="O302" s="2">
        <f>LN(1+C302+E302+Inputs!$B$7/Inputs!$B$9)</f>
        <v>-0.019871557789254216</v>
      </c>
      <c r="P302" s="2">
        <f>LN(1+D302+E302+Inputs!$B$8/Inputs!$B$9)</f>
        <v>-0.0019022770634057374</v>
      </c>
      <c r="Q302" s="2">
        <f>LN(1+E302+Inputs!$B$6/Inputs!$B$9)</f>
        <v>5.347514009060224e-05</v>
      </c>
    </row>
    <row r="303" spans="1:17">
      <c r="A303" s="3">
        <v>42809</v>
      </c>
      <c r="B303" t="s">
        <v>55</v>
      </c>
      <c r="C303" s="2">
        <v>-0.0008838695205842551</v>
      </c>
      <c r="D303" s="2">
        <v>0.001002668192056824</v>
      </c>
      <c r="E303" s="2">
        <v>3.371434895339278E-05</v>
      </c>
      <c r="F303" s="2">
        <f>Inputs!$E$2*C303+Inputs!$F$2*D303</f>
        <v>-0.00010549470123299997</v>
      </c>
      <c r="G303" s="2">
        <f>Inputs!$E$3*C303+Inputs!$F$3*D303</f>
        <v>0.0014683626866436</v>
      </c>
      <c r="H303" s="2">
        <f>F303^2</f>
        <v>1.1129131988239926e-08</v>
      </c>
      <c r="I303" s="2">
        <f>G303^2</f>
        <v>2.156088979527211e-06</v>
      </c>
      <c r="J303" s="2">
        <f>LN(1+F303+E303)</f>
        <v>-7.178292861272289e-05</v>
      </c>
      <c r="K303" s="2">
        <f>LN(1+G303+E303)</f>
        <v>0.0015009500462949315</v>
      </c>
      <c r="L303" s="2">
        <f>LN(1+E303)</f>
        <v>3.371378063716204e-05</v>
      </c>
      <c r="M303" s="2">
        <f>LN(1+C303+E303)</f>
        <v>-0.0008505167584899717</v>
      </c>
      <c r="N303" s="2">
        <f>LN(1+D303+E303)</f>
        <v>0.0010358458673918006</v>
      </c>
      <c r="O303" s="2">
        <f>LN(1+C303+E303+Inputs!$B$7/Inputs!$B$9)</f>
        <v>-0.0008405877316067934</v>
      </c>
      <c r="P303" s="2">
        <f>LN(1+D303+E303+Inputs!$B$8/Inputs!$B$9)</f>
        <v>0.0010358458673918006</v>
      </c>
      <c r="Q303" s="2">
        <f>LN(1+E303+Inputs!$B$6/Inputs!$B$9)</f>
        <v>5.355418474343607e-05</v>
      </c>
    </row>
    <row r="304" spans="1:17">
      <c r="A304" s="3">
        <v>42810</v>
      </c>
      <c r="B304" t="s">
        <v>55</v>
      </c>
      <c r="C304" s="2">
        <v>0.01054117132784032</v>
      </c>
      <c r="D304" s="2">
        <v>6.704109143073595E-05</v>
      </c>
      <c r="E304" s="2">
        <v>3.379339783722254E-05</v>
      </c>
      <c r="F304" s="2">
        <f>Inputs!$E$2*C304+Inputs!$F$2*D304</f>
        <v>0.0084731617171306</v>
      </c>
      <c r="G304" s="2">
        <f>Inputs!$E$3*C304+Inputs!$F$3*D304</f>
        <v>-0.0030819020886348</v>
      </c>
      <c r="H304" s="2">
        <f>F304^2</f>
        <v>7.179446948464757e-05</v>
      </c>
      <c r="I304" s="2">
        <f>G304^2</f>
        <v>9.498120483931544e-06</v>
      </c>
      <c r="J304" s="2">
        <f>LN(1+F304+E304)</f>
        <v>0.008470974883110686</v>
      </c>
      <c r="K304" s="2">
        <f>LN(1+G304+E304)</f>
        <v>-0.0030527636356851478</v>
      </c>
      <c r="L304" s="2">
        <f>LN(1+E304)</f>
        <v>3.379282685292919e-05</v>
      </c>
      <c r="M304" s="2">
        <f>LN(1+C304+E304)</f>
        <v>0.010519440884949199</v>
      </c>
      <c r="N304" s="2">
        <f>LN(1+D304+E304)</f>
        <v>0.00010082940581250732</v>
      </c>
      <c r="O304" s="2">
        <f>LN(1+C304+E304+Inputs!$B$7/Inputs!$B$9)</f>
        <v>0.010529257659134898</v>
      </c>
      <c r="P304" s="2">
        <f>LN(1+D304+E304+Inputs!$B$8/Inputs!$B$9)</f>
        <v>0.00010082940581250732</v>
      </c>
      <c r="Q304" s="2">
        <f>LN(1+E304+Inputs!$B$6/Inputs!$B$9)</f>
        <v>5.363322939090997e-05</v>
      </c>
    </row>
    <row r="305" spans="1:17">
      <c r="A305" s="3">
        <v>42811</v>
      </c>
      <c r="B305" t="s">
        <v>55</v>
      </c>
      <c r="C305" s="2">
        <v>-0.004143088632801932</v>
      </c>
      <c r="D305" s="2">
        <v>-0.001237043555246686</v>
      </c>
      <c r="E305" s="2">
        <v>3.38724467210523E-05</v>
      </c>
      <c r="F305" s="2">
        <f>Inputs!$E$2*C305+Inputs!$F$2*D305</f>
        <v>-0.0040566970393898</v>
      </c>
      <c r="G305" s="2">
        <f>Inputs!$E$3*C305+Inputs!$F$3*D305</f>
        <v>-0.00024152567645580004</v>
      </c>
      <c r="H305" s="2">
        <f>F305^2</f>
        <v>1.645679086939397e-05</v>
      </c>
      <c r="I305" s="2">
        <f>G305^2</f>
        <v>5.8334652387431805e-08</v>
      </c>
      <c r="J305" s="2">
        <f>LN(1+F305+E305)</f>
        <v>-0.004030937917819845</v>
      </c>
      <c r="K305" s="2">
        <f>LN(1+G305+E305)</f>
        <v>-0.00020767479265173977</v>
      </c>
      <c r="L305" s="2">
        <f>LN(1+E305)</f>
        <v>3.3871873062670067e-05</v>
      </c>
      <c r="M305" s="2">
        <f>LN(1+C305+E305)</f>
        <v>-0.004117682215368684</v>
      </c>
      <c r="N305" s="2">
        <f>LN(1+D305+E305)</f>
        <v>-0.001203895499987045</v>
      </c>
      <c r="O305" s="2">
        <f>LN(1+C305+E305+Inputs!$B$7/Inputs!$B$9)</f>
        <v>-0.004107720695822877</v>
      </c>
      <c r="P305" s="2">
        <f>LN(1+D305+E305+Inputs!$B$8/Inputs!$B$9)</f>
        <v>-0.001203895499987045</v>
      </c>
      <c r="Q305" s="2">
        <f>LN(1+E305+Inputs!$B$6/Inputs!$B$9)</f>
        <v>5.3712274032357844e-05</v>
      </c>
    </row>
    <row r="306" spans="1:17">
      <c r="A306" s="3">
        <v>42814</v>
      </c>
      <c r="B306" t="s">
        <v>55</v>
      </c>
      <c r="C306" s="2">
        <v>-0.01613269453861494</v>
      </c>
      <c r="D306" s="2">
        <v>-0.006373475911795603</v>
      </c>
      <c r="E306" s="2">
        <v>3.395149560488207E-05</v>
      </c>
      <c r="F306" s="2">
        <f>Inputs!$E$2*C306+Inputs!$F$2*D306</f>
        <v>-0.0167302411779696</v>
      </c>
      <c r="G306" s="2">
        <f>Inputs!$E$3*C306+Inputs!$F$3*D306</f>
        <v>-0.0028083627325707003</v>
      </c>
      <c r="H306" s="2">
        <f>F306^2</f>
        <v>0.0002799009698730297</v>
      </c>
      <c r="I306" s="2">
        <f>G306^2</f>
        <v>7.88690123769197e-06</v>
      </c>
      <c r="J306" s="2">
        <f>LN(1+F306+E306)</f>
        <v>-0.01683724387086094</v>
      </c>
      <c r="K306" s="2">
        <f>LN(1+G306+E306)</f>
        <v>-0.0027782670492120715</v>
      </c>
      <c r="L306" s="2">
        <f>LN(1+E306)</f>
        <v>3.39509192659406e-05</v>
      </c>
      <c r="M306" s="2">
        <f>LN(1+C306+E306)</f>
        <v>-0.016229735586088426</v>
      </c>
      <c r="N306" s="2">
        <f>LN(1+D306+E306)</f>
        <v>-0.006359704534548324</v>
      </c>
      <c r="O306" s="2">
        <f>LN(1+C306+E306+Inputs!$B$7/Inputs!$B$9)</f>
        <v>-0.016219652679052596</v>
      </c>
      <c r="P306" s="2">
        <f>LN(1+D306+E306+Inputs!$B$8/Inputs!$B$9)</f>
        <v>-0.006359704534548324</v>
      </c>
      <c r="Q306" s="2">
        <f>LN(1+E306+Inputs!$B$6/Inputs!$B$9)</f>
        <v>5.379131866733563e-05</v>
      </c>
    </row>
    <row r="307" spans="1:17">
      <c r="A307" s="3">
        <v>42815</v>
      </c>
      <c r="B307" t="s">
        <v>55</v>
      </c>
      <c r="C307" s="2">
        <v>0.002644059047171916</v>
      </c>
      <c r="D307" s="2">
        <v>-0.001009760863927429</v>
      </c>
      <c r="E307" s="2">
        <v>3.403054448871182E-05</v>
      </c>
      <c r="F307" s="2">
        <f>Inputs!$E$2*C307+Inputs!$F$2*D307</f>
        <v>0.0015093907193814001</v>
      </c>
      <c r="G307" s="2">
        <f>Inputs!$E$3*C307+Inputs!$F$3*D307</f>
        <v>-0.0020049307508639997</v>
      </c>
      <c r="H307" s="2">
        <f>F307^2</f>
        <v>2.2782603437547005e-06</v>
      </c>
      <c r="I307" s="2">
        <f>G307^2</f>
        <v>4.019747315760081e-06</v>
      </c>
      <c r="J307" s="2">
        <f>LN(1+F307+E307)</f>
        <v>0.0015422314134079745</v>
      </c>
      <c r="K307" s="2">
        <f>LN(1+G307+E307)</f>
        <v>-0.0019728449859178357</v>
      </c>
      <c r="L307" s="2">
        <f>LN(1+E307)</f>
        <v>3.402996546318488e-05</v>
      </c>
      <c r="M307" s="2">
        <f>LN(1+C307+E307)</f>
        <v>0.002674509899463758</v>
      </c>
      <c r="N307" s="2">
        <f>LN(1+D307+E307)</f>
        <v>-0.0009762066541408011</v>
      </c>
      <c r="O307" s="2">
        <f>LN(1+C307+E307+Inputs!$B$7/Inputs!$B$9)</f>
        <v>0.002684403988051022</v>
      </c>
      <c r="P307" s="2">
        <f>LN(1+D307+E307+Inputs!$B$8/Inputs!$B$9)</f>
        <v>-0.0009762066541408011</v>
      </c>
      <c r="Q307" s="2">
        <f>LN(1+E307+Inputs!$B$6/Inputs!$B$9)</f>
        <v>5.38703632962874e-05</v>
      </c>
    </row>
    <row r="308" spans="1:17">
      <c r="A308" s="3">
        <v>42816</v>
      </c>
      <c r="B308" t="s">
        <v>55</v>
      </c>
      <c r="C308" s="2">
        <v>0.0008153986719450059</v>
      </c>
      <c r="D308" s="2">
        <v>-0.009025373695396396</v>
      </c>
      <c r="E308" s="2">
        <v>3.410959337254158E-05</v>
      </c>
      <c r="F308" s="2">
        <f>Inputs!$E$2*C308+Inputs!$F$2*D308</f>
        <v>-0.004762905279681599</v>
      </c>
      <c r="G308" s="2">
        <f>Inputs!$E$3*C308+Inputs!$F$3*D308</f>
        <v>-0.011075068036058698</v>
      </c>
      <c r="H308" s="2">
        <f>F308^2</f>
        <v>2.2685266703218847e-05</v>
      </c>
      <c r="I308" s="2">
        <f>G308^2</f>
        <v>0.00012265713200332906</v>
      </c>
      <c r="J308" s="2">
        <f>LN(1+F308+E308)</f>
        <v>-0.004740011813782588</v>
      </c>
      <c r="K308" s="2">
        <f>LN(1+G308+E308)</f>
        <v>-0.011102362213657022</v>
      </c>
      <c r="L308" s="2">
        <f>LN(1+E308)</f>
        <v>3.410901165395881e-05</v>
      </c>
      <c r="M308" s="2">
        <f>LN(1+C308+E308)</f>
        <v>0.0008491476373946605</v>
      </c>
      <c r="N308" s="2">
        <f>LN(1+D308+E308)</f>
        <v>-0.009031929455910184</v>
      </c>
      <c r="O308" s="2">
        <f>LN(1+C308+E308+Inputs!$B$7/Inputs!$B$9)</f>
        <v>0.000859059802681585</v>
      </c>
      <c r="P308" s="2">
        <f>LN(1+D308+E308+Inputs!$B$8/Inputs!$B$9)</f>
        <v>-0.009031929455910184</v>
      </c>
      <c r="Q308" s="2">
        <f>LN(1+E308+Inputs!$B$6/Inputs!$B$9)</f>
        <v>5.3949407918769084e-05</v>
      </c>
    </row>
    <row r="309" spans="1:17">
      <c r="A309" s="3">
        <v>42817</v>
      </c>
      <c r="B309" t="s">
        <v>55</v>
      </c>
      <c r="C309" s="2">
        <v>0.009028607323949877</v>
      </c>
      <c r="D309" s="2">
        <v>0.008436648825326774</v>
      </c>
      <c r="E309" s="2">
        <v>3.418864225637134E-05</v>
      </c>
      <c r="F309" s="2">
        <f>Inputs!$E$2*C309+Inputs!$F$2*D309</f>
        <v>0.012284875154356199</v>
      </c>
      <c r="G309" s="2">
        <f>Inputs!$E$3*C309+Inputs!$F$3*D309</f>
        <v>0.007415396393207398</v>
      </c>
      <c r="H309" s="2">
        <f>F309^2</f>
        <v>0.00015091815755811824</v>
      </c>
      <c r="I309" s="2">
        <f>G309^2</f>
        <v>5.498810366839329e-05</v>
      </c>
      <c r="J309" s="2">
        <f>LN(1+F309+E309)</f>
        <v>0.01224380160627755</v>
      </c>
      <c r="K309" s="2">
        <f>LN(1+G309+E309)</f>
        <v>0.007421973919641068</v>
      </c>
      <c r="L309" s="2">
        <f>LN(1+E309)</f>
        <v>3.41880578375963e-05</v>
      </c>
      <c r="M309" s="2">
        <f>LN(1+C309+E309)</f>
        <v>0.009021975278515578</v>
      </c>
      <c r="N309" s="2">
        <f>LN(1+D309+E309)</f>
        <v>0.008435161253906307</v>
      </c>
      <c r="O309" s="2">
        <f>LN(1+C309+E309+Inputs!$B$7/Inputs!$B$9)</f>
        <v>0.009031806763922748</v>
      </c>
      <c r="P309" s="2">
        <f>LN(1+D309+E309+Inputs!$B$8/Inputs!$B$9)</f>
        <v>0.008435161253906307</v>
      </c>
      <c r="Q309" s="2">
        <f>LN(1+E309+Inputs!$B$6/Inputs!$B$9)</f>
        <v>5.4028452534114584e-05</v>
      </c>
    </row>
    <row r="310" spans="1:17">
      <c r="A310" s="3">
        <v>42818</v>
      </c>
      <c r="B310" t="s">
        <v>55</v>
      </c>
      <c r="C310" s="2">
        <v>0.008238744587557523</v>
      </c>
      <c r="D310" s="2">
        <v>-0.00656664489693437</v>
      </c>
      <c r="E310" s="2">
        <v>3.42676911402011E-05</v>
      </c>
      <c r="F310" s="2">
        <f>Inputs!$E$2*C310+Inputs!$F$2*D310</f>
        <v>0.0026510087318860004</v>
      </c>
      <c r="G310" s="2">
        <f>Inputs!$E$3*C310+Inputs!$F$3*D310</f>
        <v>-0.0103515972525882</v>
      </c>
      <c r="H310" s="2">
        <f>F310^2</f>
        <v>7.02784729653582e-06</v>
      </c>
      <c r="I310" s="2">
        <f>G310^2</f>
        <v>0.00010715556567979156</v>
      </c>
      <c r="J310" s="2">
        <f>LN(1+F310+E310)</f>
        <v>0.0026816775095706976</v>
      </c>
      <c r="K310" s="2">
        <f>LN(1+G310+E310)</f>
        <v>-0.010370922146349744</v>
      </c>
      <c r="L310" s="2">
        <f>LN(1+E310)</f>
        <v>3.426710401609567e-05</v>
      </c>
      <c r="M310" s="2">
        <f>LN(1+C310+E310)</f>
        <v>0.008238978491733358</v>
      </c>
      <c r="N310" s="2">
        <f>LN(1+D310+E310)</f>
        <v>-0.006553806555818032</v>
      </c>
      <c r="O310" s="2">
        <f>LN(1+C310+E310+Inputs!$B$7/Inputs!$B$9)</f>
        <v>0.008248817678138674</v>
      </c>
      <c r="P310" s="2">
        <f>LN(1+D310+E310+Inputs!$B$8/Inputs!$B$9)</f>
        <v>-0.006553806555818032</v>
      </c>
      <c r="Q310" s="2">
        <f>LN(1+E310+Inputs!$B$6/Inputs!$B$9)</f>
        <v>5.41074971443222e-05</v>
      </c>
    </row>
    <row r="311" spans="1:17">
      <c r="A311" s="3">
        <v>42821</v>
      </c>
      <c r="B311" t="s">
        <v>55</v>
      </c>
      <c r="C311" s="2">
        <v>-0.002319547361547828</v>
      </c>
      <c r="D311" s="2">
        <v>-0.00423946573540864</v>
      </c>
      <c r="E311" s="2">
        <v>3.434674002403086E-05</v>
      </c>
      <c r="F311" s="2">
        <f>Inputs!$E$2*C311+Inputs!$F$2*D311</f>
        <v>-0.0043993173304838</v>
      </c>
      <c r="G311" s="2">
        <f>Inputs!$E$3*C311+Inputs!$F$3*D311</f>
        <v>-0.004391494674026399</v>
      </c>
      <c r="H311" s="2">
        <f>F311^2</f>
        <v>1.9353992974295107e-05</v>
      </c>
      <c r="I311" s="2">
        <f>G311^2</f>
        <v>1.928522547200223e-05</v>
      </c>
      <c r="J311" s="2">
        <f>LN(1+F311+E311)</f>
        <v>-0.004374524887541605</v>
      </c>
      <c r="K311" s="2">
        <f>LN(1+G311+E311)</f>
        <v>-0.004366667966586281</v>
      </c>
      <c r="L311" s="2">
        <f>LN(1+E311)</f>
        <v>3.434615018812471e-05</v>
      </c>
      <c r="M311" s="2">
        <f>LN(1+C311+E311)</f>
        <v>-0.0022878156771751514</v>
      </c>
      <c r="N311" s="2">
        <f>LN(1+D311+E311)</f>
        <v>-0.004213985373113113</v>
      </c>
      <c r="O311" s="2">
        <f>LN(1+C311+E311+Inputs!$B$7/Inputs!$B$9)</f>
        <v>-0.0022778723691226246</v>
      </c>
      <c r="P311" s="2">
        <f>LN(1+D311+E311+Inputs!$B$8/Inputs!$B$9)</f>
        <v>-0.004213985373113113</v>
      </c>
      <c r="Q311" s="2">
        <f>LN(1+E311+Inputs!$B$6/Inputs!$B$9)</f>
        <v>5.418654174805973e-05</v>
      </c>
    </row>
    <row r="312" spans="1:17">
      <c r="A312" s="3">
        <v>42822</v>
      </c>
      <c r="B312" t="s">
        <v>55</v>
      </c>
      <c r="C312" s="2">
        <v>0.003532714854400576</v>
      </c>
      <c r="D312" s="2">
        <v>-0.004553489565326974</v>
      </c>
      <c r="E312" s="2">
        <v>3.442578890786062E-05</v>
      </c>
      <c r="F312" s="2">
        <f>Inputs!$E$2*C312+Inputs!$F$2*D312</f>
        <v>9.407814432460092e-05</v>
      </c>
      <c r="G312" s="2">
        <f>Inputs!$E$3*C312+Inputs!$F$3*D312</f>
        <v>-0.006524001934712699</v>
      </c>
      <c r="H312" s="2">
        <f>F312^2</f>
        <v>8.850697239560441e-09</v>
      </c>
      <c r="I312" s="2">
        <f>G312^2</f>
        <v>4.256260124413504e-05</v>
      </c>
      <c r="J312" s="2">
        <f>LN(1+F312+E312)</f>
        <v>0.0001284956773094477</v>
      </c>
      <c r="K312" s="2">
        <f>LN(1+G312+E312)</f>
        <v>-0.006510724992769921</v>
      </c>
      <c r="L312" s="2">
        <f>LN(1+E312)</f>
        <v>3.442519635412749e-05</v>
      </c>
      <c r="M312" s="2">
        <f>LN(1+C312+E312)</f>
        <v>0.0035607934867794826</v>
      </c>
      <c r="N312" s="2">
        <f>LN(1+D312+E312)</f>
        <v>-0.004529305612448098</v>
      </c>
      <c r="O312" s="2">
        <f>LN(1+C312+E312+Inputs!$B$7/Inputs!$B$9)</f>
        <v>0.0035706788103264915</v>
      </c>
      <c r="P312" s="2">
        <f>LN(1+D312+E312+Inputs!$B$8/Inputs!$B$9)</f>
        <v>-0.004529305612448098</v>
      </c>
      <c r="Q312" s="2">
        <f>LN(1+E312+Inputs!$B$6/Inputs!$B$9)</f>
        <v>5.426558634577124e-05</v>
      </c>
    </row>
    <row r="313" spans="1:17">
      <c r="A313" s="3">
        <v>42823</v>
      </c>
      <c r="B313" t="s">
        <v>55</v>
      </c>
      <c r="C313" s="2">
        <v>-0.01490532302068853</v>
      </c>
      <c r="D313" s="2">
        <v>0.004610588334155103</v>
      </c>
      <c r="E313" s="2">
        <v>3.450483779169039E-05</v>
      </c>
      <c r="F313" s="2">
        <f>Inputs!$E$2*C313+Inputs!$F$2*D313</f>
        <v>-0.009157905416058201</v>
      </c>
      <c r="G313" s="2">
        <f>Inputs!$E$3*C313+Inputs!$F$3*D313</f>
        <v>0.0100043029071927</v>
      </c>
      <c r="H313" s="2">
        <f>F313^2</f>
        <v>8.386723160946812e-05</v>
      </c>
      <c r="I313" s="2">
        <f>G313^2</f>
        <v>0.00010008607665886432</v>
      </c>
      <c r="J313" s="2">
        <f>LN(1+F313+E313)</f>
        <v>-0.009165273675259473</v>
      </c>
      <c r="K313" s="2">
        <f>LN(1+G313+E313)</f>
        <v>0.009988753624889966</v>
      </c>
      <c r="L313" s="2">
        <f>LN(1+E313)</f>
        <v>3.4504242513881976e-05</v>
      </c>
      <c r="M313" s="2">
        <f>LN(1+C313+E313)</f>
        <v>-0.01498249735643695</v>
      </c>
      <c r="N313" s="2">
        <f>LN(1+D313+E313)</f>
        <v>0.0046343380195883474</v>
      </c>
      <c r="O313" s="2">
        <f>LN(1+C313+E313+Inputs!$B$7/Inputs!$B$9)</f>
        <v>-0.01497242701728572</v>
      </c>
      <c r="P313" s="2">
        <f>LN(1+D313+E313+Inputs!$B$8/Inputs!$B$9)</f>
        <v>0.0046343380195883474</v>
      </c>
      <c r="Q313" s="2">
        <f>LN(1+E313+Inputs!$B$6/Inputs!$B$9)</f>
        <v>5.434463093723471e-05</v>
      </c>
    </row>
    <row r="314" spans="1:17">
      <c r="A314" s="3">
        <v>42824</v>
      </c>
      <c r="B314" t="s">
        <v>55</v>
      </c>
      <c r="C314" s="2">
        <v>0.01022429278311893</v>
      </c>
      <c r="D314" s="2">
        <v>-0.0009119617045617816</v>
      </c>
      <c r="E314" s="2">
        <v>3.458388667552015E-05</v>
      </c>
      <c r="F314" s="2">
        <f>Inputs!$E$2*C314+Inputs!$F$2*D314</f>
        <v>0.007632257203758</v>
      </c>
      <c r="G314" s="2">
        <f>Inputs!$E$3*C314+Inputs!$F$3*D314</f>
        <v>-0.0041616418804101</v>
      </c>
      <c r="H314" s="2">
        <f>F314^2</f>
        <v>5.825135002431588e-05</v>
      </c>
      <c r="I314" s="2">
        <f>G314^2</f>
        <v>1.731926314078331e-05</v>
      </c>
      <c r="J314" s="2">
        <f>LN(1+F314+E314)</f>
        <v>0.007637600225888936</v>
      </c>
      <c r="K314" s="2">
        <f>LN(1+G314+E314)</f>
        <v>-0.0041355978018635785</v>
      </c>
      <c r="L314" s="2">
        <f>LN(1+E314)</f>
        <v>3.458328866716613e-05</v>
      </c>
      <c r="M314" s="2">
        <f>LN(1+C314+E314)</f>
        <v>0.010206611544916587</v>
      </c>
      <c r="N314" s="2">
        <f>LN(1+D314+E314)</f>
        <v>-0.0008777629390846621</v>
      </c>
      <c r="O314" s="2">
        <f>LN(1+C314+E314+Inputs!$B$7/Inputs!$B$9)</f>
        <v>0.01021643139054259</v>
      </c>
      <c r="P314" s="2">
        <f>LN(1+D314+E314+Inputs!$B$8/Inputs!$B$9)</f>
        <v>-0.0008777629390846621</v>
      </c>
      <c r="Q314" s="2">
        <f>LN(1+E314+Inputs!$B$6/Inputs!$B$9)</f>
        <v>5.44236755222281e-05</v>
      </c>
    </row>
    <row r="315" spans="1:17">
      <c r="A315" s="3">
        <v>42825</v>
      </c>
      <c r="B315" t="s">
        <v>55</v>
      </c>
      <c r="C315" s="2">
        <v>0.001793108678015399</v>
      </c>
      <c r="D315" s="2">
        <v>0.008439657035530396</v>
      </c>
      <c r="E315" s="2">
        <v>3.466293555934991E-05</v>
      </c>
      <c r="F315" s="2">
        <f>Inputs!$E$2*C315+Inputs!$F$2*D315</f>
        <v>0.00649828116373</v>
      </c>
      <c r="G315" s="2">
        <f>Inputs!$E$3*C315+Inputs!$F$3*D315</f>
        <v>0.009589655839231501</v>
      </c>
      <c r="H315" s="2">
        <f>F315^2</f>
        <v>4.2227658082888124e-05</v>
      </c>
      <c r="I315" s="2">
        <f>G315^2</f>
        <v>9.196149911490683e-05</v>
      </c>
      <c r="J315" s="2">
        <f>LN(1+F315+E315)</f>
        <v>0.006511696907593243</v>
      </c>
      <c r="K315" s="2">
        <f>LN(1+G315+E315)</f>
        <v>0.009578300049171266</v>
      </c>
      <c r="L315" s="2">
        <f>LN(1+E315)</f>
        <v>3.4662334813313834e-05</v>
      </c>
      <c r="M315" s="2">
        <f>LN(1+C315+E315)</f>
        <v>0.0018261032716276168</v>
      </c>
      <c r="N315" s="2">
        <f>LN(1+D315+E315)</f>
        <v>0.00843861449951727</v>
      </c>
      <c r="O315" s="2">
        <f>LN(1+C315+E315+Inputs!$B$7/Inputs!$B$9)</f>
        <v>0.0018360057579454947</v>
      </c>
      <c r="P315" s="2">
        <f>LN(1+D315+E315+Inputs!$B$8/Inputs!$B$9)</f>
        <v>0.00843861449951727</v>
      </c>
      <c r="Q315" s="2">
        <f>LN(1+E315+Inputs!$B$6/Inputs!$B$9)</f>
        <v>5.450272010008531e-05</v>
      </c>
    </row>
    <row r="316" spans="1:17">
      <c r="A316" s="3">
        <v>42828</v>
      </c>
      <c r="B316" t="s">
        <v>56</v>
      </c>
      <c r="C316" s="2">
        <v>0.009706109644062566</v>
      </c>
      <c r="D316" s="2">
        <v>-0.002478435319467543</v>
      </c>
      <c r="E316" s="2">
        <v>3.474198444317966E-05</v>
      </c>
      <c r="F316" s="2">
        <f>Inputs!$E$2*C316+Inputs!$F$2*D316</f>
        <v>0.0062778265235696</v>
      </c>
      <c r="G316" s="2">
        <f>Inputs!$E$3*C316+Inputs!$F$3*D316</f>
        <v>-0.0058859552765805</v>
      </c>
      <c r="H316" s="2">
        <f>F316^2</f>
        <v>3.9411105860033974e-05</v>
      </c>
      <c r="I316" s="2">
        <f>G316^2</f>
        <v>3.4644469517905826e-05</v>
      </c>
      <c r="J316" s="2">
        <f>LN(1+F316+E316)</f>
        <v>0.006292727701286626</v>
      </c>
      <c r="K316" s="2">
        <f>LN(1+G316+E316)</f>
        <v>-0.005868398710454383</v>
      </c>
      <c r="L316" s="2">
        <f>LN(1+E316)</f>
        <v>3.474138095432344e-05</v>
      </c>
      <c r="M316" s="2">
        <f>LN(1+C316+E316)</f>
        <v>0.009693715384201222</v>
      </c>
      <c r="N316" s="2">
        <f>LN(1+D316+E316)</f>
        <v>-0.002446684026798705</v>
      </c>
      <c r="O316" s="2">
        <f>LN(1+C316+E316+Inputs!$B$7/Inputs!$B$9)</f>
        <v>0.009703540267655433</v>
      </c>
      <c r="P316" s="2">
        <f>LN(1+D316+E316+Inputs!$B$8/Inputs!$B$9)</f>
        <v>-0.002446684026798705</v>
      </c>
      <c r="Q316" s="2">
        <f>LN(1+E316+Inputs!$B$6/Inputs!$B$9)</f>
        <v>5.4581764672804634e-05</v>
      </c>
    </row>
    <row r="317" spans="1:17">
      <c r="A317" s="3">
        <v>42829</v>
      </c>
      <c r="B317" t="s">
        <v>56</v>
      </c>
      <c r="C317" s="2">
        <v>0.00958804852315623</v>
      </c>
      <c r="D317" s="2">
        <v>0.00111484140640737</v>
      </c>
      <c r="E317" s="2">
        <v>3.482103332700942E-05</v>
      </c>
      <c r="F317" s="2">
        <f>Inputs!$E$2*C317+Inputs!$F$2*D317</f>
        <v>0.008339343662368999</v>
      </c>
      <c r="G317" s="2">
        <f>Inputs!$E$3*C317+Inputs!$F$3*D317</f>
        <v>-0.0015386048692584</v>
      </c>
      <c r="H317" s="2">
        <f>F317^2</f>
        <v>6.9544652719094e-05</v>
      </c>
      <c r="I317" s="2">
        <f>G317^2</f>
        <v>2.367304943705658e-06</v>
      </c>
      <c r="J317" s="2">
        <f>LN(1+F317+E317)</f>
        <v>0.008339295907925743</v>
      </c>
      <c r="K317" s="2">
        <f>LN(1+G317+E317)</f>
        <v>-0.0015049156536591291</v>
      </c>
      <c r="L317" s="2">
        <f>LN(1+E317)</f>
        <v>3.482042708886271e-05</v>
      </c>
      <c r="M317" s="2">
        <f>LN(1+C317+E317)</f>
        <v>0.009576864644614822</v>
      </c>
      <c r="N317" s="2">
        <f>LN(1+D317+E317)</f>
        <v>0.0011490020839470588</v>
      </c>
      <c r="O317" s="2">
        <f>LN(1+C317+E317+Inputs!$B$7/Inputs!$B$9)</f>
        <v>0.00958669067617537</v>
      </c>
      <c r="P317" s="2">
        <f>LN(1+D317+E317+Inputs!$B$8/Inputs!$B$9)</f>
        <v>0.0011490020839470588</v>
      </c>
      <c r="Q317" s="2">
        <f>LN(1+E317+Inputs!$B$6/Inputs!$B$9)</f>
        <v>5.466080923905389e-05</v>
      </c>
    </row>
    <row r="318" spans="1:17">
      <c r="A318" s="3">
        <v>42830</v>
      </c>
      <c r="B318" t="s">
        <v>56</v>
      </c>
      <c r="C318" s="2">
        <v>-0.002501389288351472</v>
      </c>
      <c r="D318" s="2">
        <v>-0.0001202369117161968</v>
      </c>
      <c r="E318" s="2">
        <v>3.490008221083918E-05</v>
      </c>
      <c r="F318" s="2">
        <f>Inputs!$E$2*C318+Inputs!$F$2*D318</f>
        <v>-0.0020732535777104</v>
      </c>
      <c r="G318" s="2">
        <f>Inputs!$E$3*C318+Inputs!$F$3*D318</f>
        <v>0.0006061324924461</v>
      </c>
      <c r="H318" s="2">
        <f>F318^2</f>
        <v>4.298380397488974e-06</v>
      </c>
      <c r="I318" s="2">
        <f>G318^2</f>
        <v>3.673965983989214e-07</v>
      </c>
      <c r="J318" s="2">
        <f>LN(1+F318+E318)</f>
        <v>-0.002040433765349972</v>
      </c>
      <c r="K318" s="2">
        <f>LN(1+G318+E318)</f>
        <v>0.0006408272010389657</v>
      </c>
      <c r="L318" s="2">
        <f>LN(1+E318)</f>
        <v>3.489947321737573e-05</v>
      </c>
      <c r="M318" s="2">
        <f>LN(1+C318+E318)</f>
        <v>-0.0024695360015985213</v>
      </c>
      <c r="N318" s="2">
        <f>LN(1+D318+E318)</f>
        <v>-8.534047089946698e-05</v>
      </c>
      <c r="O318" s="2">
        <f>LN(1+C318+E318+Inputs!$B$7/Inputs!$B$9)</f>
        <v>-0.0024595908864896293</v>
      </c>
      <c r="P318" s="2">
        <f>LN(1+D318+E318+Inputs!$B$8/Inputs!$B$9)</f>
        <v>-8.534047089946698e-05</v>
      </c>
      <c r="Q318" s="2">
        <f>LN(1+E318+Inputs!$B$6/Inputs!$B$9)</f>
        <v>5.473985379927713e-05</v>
      </c>
    </row>
    <row r="319" spans="1:17">
      <c r="A319" s="3">
        <v>42831</v>
      </c>
      <c r="B319" t="s">
        <v>56</v>
      </c>
      <c r="C319" s="2">
        <v>-0.001209176187048805</v>
      </c>
      <c r="D319" s="2">
        <v>-0.001583505205377883</v>
      </c>
      <c r="E319" s="2">
        <v>3.497913109466895E-05</v>
      </c>
      <c r="F319" s="2">
        <f>Inputs!$E$2*C319+Inputs!$F$2*D319</f>
        <v>-0.001917444072866</v>
      </c>
      <c r="G319" s="2">
        <f>Inputs!$E$3*C319+Inputs!$F$3*D319</f>
        <v>-0.0015374533903389</v>
      </c>
      <c r="H319" s="2">
        <f>F319^2</f>
        <v>3.6765917725689545e-06</v>
      </c>
      <c r="I319" s="2">
        <f>G319^2</f>
        <v>2.3637629274645777e-06</v>
      </c>
      <c r="J319" s="2">
        <f>LN(1+F319+E319)</f>
        <v>-0.001884239005657848</v>
      </c>
      <c r="K319" s="2">
        <f>LN(1+G319+E319)</f>
        <v>-0.0015036041055456373</v>
      </c>
      <c r="L319" s="2">
        <f>LN(1+E319)</f>
        <v>3.4978519339418424e-05</v>
      </c>
      <c r="M319" s="2">
        <f>LN(1+C319+E319)</f>
        <v>-0.001174886965429774</v>
      </c>
      <c r="N319" s="2">
        <f>LN(1+D319+E319)</f>
        <v>-0.0015497262799776161</v>
      </c>
      <c r="O319" s="2">
        <f>LN(1+C319+E319+Inputs!$B$7/Inputs!$B$9)</f>
        <v>-0.0011649547173596848</v>
      </c>
      <c r="P319" s="2">
        <f>LN(1+D319+E319+Inputs!$B$8/Inputs!$B$9)</f>
        <v>-0.0015497262799776161</v>
      </c>
      <c r="Q319" s="2">
        <f>LN(1+E319+Inputs!$B$6/Inputs!$B$9)</f>
        <v>5.4818898353030294e-05</v>
      </c>
    </row>
    <row r="320" spans="1:17">
      <c r="A320" s="3">
        <v>42832</v>
      </c>
      <c r="B320" t="s">
        <v>56</v>
      </c>
      <c r="C320" s="2">
        <v>-0.007237054641043758</v>
      </c>
      <c r="D320" s="2">
        <v>0.006059634157439379</v>
      </c>
      <c r="E320" s="2">
        <v>3.505817997849871E-05</v>
      </c>
      <c r="F320" s="2">
        <f>Inputs!$E$2*C320+Inputs!$F$2*D320</f>
        <v>-0.0021538632183718005</v>
      </c>
      <c r="G320" s="2">
        <f>Inputs!$E$3*C320+Inputs!$F$3*D320</f>
        <v>0.00944267738124</v>
      </c>
      <c r="H320" s="2">
        <f>F320^2</f>
        <v>4.63912676345493e-06</v>
      </c>
      <c r="I320" s="2">
        <f>G320^2</f>
        <v>8.91641561261815e-05</v>
      </c>
      <c r="J320" s="2">
        <f>LN(1+F320+E320)</f>
        <v>-0.0021210528815114073</v>
      </c>
      <c r="K320" s="2">
        <f>LN(1+G320+E320)</f>
        <v>0.009433103610471932</v>
      </c>
      <c r="L320" s="2">
        <f>LN(1+E320)</f>
        <v>3.505756545432468e-05</v>
      </c>
      <c r="M320" s="2">
        <f>LN(1+C320+E320)</f>
        <v>-0.0072280560335943435</v>
      </c>
      <c r="N320" s="2">
        <f>LN(1+D320+E320)</f>
        <v>0.006076194819810616</v>
      </c>
      <c r="O320" s="2">
        <f>LN(1+C320+E320+Inputs!$B$7/Inputs!$B$9)</f>
        <v>-0.007218063481918012</v>
      </c>
      <c r="P320" s="2">
        <f>LN(1+D320+E320+Inputs!$B$8/Inputs!$B$9)</f>
        <v>0.006076194819810616</v>
      </c>
      <c r="Q320" s="2">
        <f>LN(1+E320+Inputs!$B$6/Inputs!$B$9)</f>
        <v>5.489794289964729e-05</v>
      </c>
    </row>
    <row r="321" spans="1:17">
      <c r="A321" s="3">
        <v>42835</v>
      </c>
      <c r="B321" t="s">
        <v>56</v>
      </c>
      <c r="C321" s="2">
        <v>-0.01715464027640193</v>
      </c>
      <c r="D321" s="2">
        <v>0.006746473409930336</v>
      </c>
      <c r="E321" s="2">
        <v>3.513722886232847E-05</v>
      </c>
      <c r="F321" s="2">
        <f>Inputs!$E$2*C321+Inputs!$F$2*D321</f>
        <v>-0.009675828175163602</v>
      </c>
      <c r="G321" s="2">
        <f>Inputs!$E$3*C321+Inputs!$F$3*D321</f>
        <v>0.0132421601748366</v>
      </c>
      <c r="H321" s="2">
        <f>F321^2</f>
        <v>9.362165087528979e-05</v>
      </c>
      <c r="I321" s="2">
        <f>G321^2</f>
        <v>0.00017535480609602848</v>
      </c>
      <c r="J321" s="2">
        <f>LN(1+F321+E321)</f>
        <v>-0.009687463261645565</v>
      </c>
      <c r="K321" s="2">
        <f>LN(1+G321+E321)</f>
        <v>0.013189926606224913</v>
      </c>
      <c r="L321" s="2">
        <f>LN(1+E321)</f>
        <v>3.5136611564092835e-05</v>
      </c>
      <c r="M321" s="2">
        <f>LN(1+C321+E321)</f>
        <v>-0.01726773595817053</v>
      </c>
      <c r="N321" s="2">
        <f>LN(1+D321+E321)</f>
        <v>0.006758718954081144</v>
      </c>
      <c r="O321" s="2">
        <f>LN(1+C321+E321+Inputs!$B$7/Inputs!$B$9)</f>
        <v>-0.017257642579692523</v>
      </c>
      <c r="P321" s="2">
        <f>LN(1+D321+E321+Inputs!$B$8/Inputs!$B$9)</f>
        <v>0.006758718954081144</v>
      </c>
      <c r="Q321" s="2">
        <f>LN(1+E321+Inputs!$B$6/Inputs!$B$9)</f>
        <v>5.4976987441126414e-05</v>
      </c>
    </row>
    <row r="322" spans="1:17">
      <c r="A322" s="3">
        <v>42836</v>
      </c>
      <c r="B322" t="s">
        <v>56</v>
      </c>
      <c r="C322" s="2">
        <v>-0.00116659144694539</v>
      </c>
      <c r="D322" s="2">
        <v>0.007364359157736609</v>
      </c>
      <c r="E322" s="2">
        <v>3.521627774615823E-05</v>
      </c>
      <c r="F322" s="2">
        <f>Inputs!$E$2*C322+Inputs!$F$2*D322</f>
        <v>0.0034853423370861994</v>
      </c>
      <c r="G322" s="2">
        <f>Inputs!$E$3*C322+Inputs!$F$3*D322</f>
        <v>0.009187208423367899</v>
      </c>
      <c r="H322" s="2">
        <f>F322^2</f>
        <v>1.214761120668549e-05</v>
      </c>
      <c r="I322" s="2">
        <f>G322^2</f>
        <v>8.440479861440207e-05</v>
      </c>
      <c r="J322" s="2">
        <f>LN(1+F322+E322)</f>
        <v>0.003514375955046772</v>
      </c>
      <c r="K322" s="2">
        <f>LN(1+G322+E322)</f>
        <v>0.009180157812486673</v>
      </c>
      <c r="L322" s="2">
        <f>LN(1+E322)</f>
        <v>3.521565766739066e-05</v>
      </c>
      <c r="M322" s="2">
        <f>LN(1+C322+E322)</f>
        <v>-0.001132015657219398</v>
      </c>
      <c r="N322" s="2">
        <f>LN(1+D322+E322)</f>
        <v>0.007372332883506304</v>
      </c>
      <c r="O322" s="2">
        <f>LN(1+C322+E322+Inputs!$B$7/Inputs!$B$9)</f>
        <v>-0.0011220838349465352</v>
      </c>
      <c r="P322" s="2">
        <f>LN(1+D322+E322+Inputs!$B$8/Inputs!$B$9)</f>
        <v>0.007372332883506304</v>
      </c>
      <c r="Q322" s="2">
        <f>LN(1+E322+Inputs!$B$6/Inputs!$B$9)</f>
        <v>5.505603197613546e-05</v>
      </c>
    </row>
    <row r="323" spans="1:17">
      <c r="A323" s="3">
        <v>42837</v>
      </c>
      <c r="B323" t="s">
        <v>56</v>
      </c>
      <c r="C323" s="2">
        <v>0.001478119298904812</v>
      </c>
      <c r="D323" s="2">
        <v>-0.007514681737486552</v>
      </c>
      <c r="E323" s="2">
        <v>3.529532662998799E-05</v>
      </c>
      <c r="F323" s="2">
        <f>Inputs!$E$2*C323+Inputs!$F$2*D323</f>
        <v>-0.0033263136033681996</v>
      </c>
      <c r="G323" s="2">
        <f>Inputs!$E$3*C323+Inputs!$F$3*D323</f>
        <v>-0.0094610538746559</v>
      </c>
      <c r="H323" s="2">
        <f>F323^2</f>
        <v>1.1064362187952337e-05</v>
      </c>
      <c r="I323" s="2">
        <f>G323^2</f>
        <v>8.951154041914142e-05</v>
      </c>
      <c r="J323" s="2">
        <f>LN(1+F323+E323)</f>
        <v>-0.0032964455882460745</v>
      </c>
      <c r="K323" s="2">
        <f>LN(1+G323+E323)</f>
        <v>-0.009470462142083223</v>
      </c>
      <c r="L323" s="2">
        <f>LN(1+E323)</f>
        <v>3.529470376466224e-05</v>
      </c>
      <c r="M323" s="2">
        <f>LN(1+C323+E323)</f>
        <v>0.0015122705677644386</v>
      </c>
      <c r="N323" s="2">
        <f>LN(1+D323+E323)</f>
        <v>-0.007507497277133688</v>
      </c>
      <c r="O323" s="2">
        <f>LN(1+C323+E323+Inputs!$B$7/Inputs!$B$9)</f>
        <v>0.001522176162278682</v>
      </c>
      <c r="P323" s="2">
        <f>LN(1+D323+E323+Inputs!$B$8/Inputs!$B$9)</f>
        <v>-0.007507497277133688</v>
      </c>
      <c r="Q323" s="2">
        <f>LN(1+E323+Inputs!$B$6/Inputs!$B$9)</f>
        <v>5.51350765051185e-05</v>
      </c>
    </row>
    <row r="324" spans="1:17">
      <c r="A324" s="3">
        <v>42838</v>
      </c>
      <c r="B324" t="s">
        <v>56</v>
      </c>
      <c r="C324" s="2">
        <v>-0.009397978619855975</v>
      </c>
      <c r="D324" s="2">
        <v>0.002269146771349852</v>
      </c>
      <c r="E324" s="2">
        <v>3.537437551381775E-05</v>
      </c>
      <c r="F324" s="2">
        <f>Inputs!$E$2*C324+Inputs!$F$2*D324</f>
        <v>-0.0061568948330748</v>
      </c>
      <c r="G324" s="2">
        <f>Inputs!$E$3*C324+Inputs!$F$3*D324</f>
        <v>0.005542369711576799</v>
      </c>
      <c r="H324" s="2">
        <f>F324^2</f>
        <v>3.790735398554316e-05</v>
      </c>
      <c r="I324" s="2">
        <f>G324^2</f>
        <v>3.07178620198039e-05</v>
      </c>
      <c r="J324" s="2">
        <f>LN(1+F324+E324)</f>
        <v>-0.006140333780639588</v>
      </c>
      <c r="K324" s="2">
        <f>LN(1+G324+E324)</f>
        <v>0.005562246075129233</v>
      </c>
      <c r="L324" s="2">
        <f>LN(1+E324)</f>
        <v>3.53737498554635e-05</v>
      </c>
      <c r="M324" s="2">
        <f>LN(1+C324+E324)</f>
        <v>-0.009406708929130904</v>
      </c>
      <c r="N324" s="2">
        <f>LN(1+D324+E324)</f>
        <v>0.0023018698105981544</v>
      </c>
      <c r="O324" s="2">
        <f>LN(1+C324+E324+Inputs!$B$7/Inputs!$B$9)</f>
        <v>-0.009396694583529857</v>
      </c>
      <c r="P324" s="2">
        <f>LN(1+D324+E324+Inputs!$B$8/Inputs!$B$9)</f>
        <v>0.0023018698105981544</v>
      </c>
      <c r="Q324" s="2">
        <f>LN(1+E324+Inputs!$B$6/Inputs!$B$9)</f>
        <v>5.521412102763147e-05</v>
      </c>
    </row>
    <row r="325" spans="1:17">
      <c r="A325" s="3">
        <v>42842</v>
      </c>
      <c r="B325" t="s">
        <v>56</v>
      </c>
      <c r="C325" s="2">
        <v>0.006381979865682901</v>
      </c>
      <c r="D325" s="2">
        <v>-0.006101877717578717</v>
      </c>
      <c r="E325" s="2">
        <v>3.545342439764751E-05</v>
      </c>
      <c r="F325" s="2">
        <f>Inputs!$E$2*C325+Inputs!$F$2*D325</f>
        <v>0.0014444572619990012</v>
      </c>
      <c r="G325" s="2">
        <f>Inputs!$E$3*C325+Inputs!$F$3*D325</f>
        <v>-0.009236847220799699</v>
      </c>
      <c r="H325" s="2">
        <f>F325^2</f>
        <v>2.086456781741651e-06</v>
      </c>
      <c r="I325" s="2">
        <f>G325^2</f>
        <v>8.531934658039512e-05</v>
      </c>
      <c r="J325" s="2">
        <f>LN(1+F325+E325)</f>
        <v>0.001478816697781069</v>
      </c>
      <c r="K325" s="2">
        <f>LN(1+G325+E325)</f>
        <v>-0.009243988106316863</v>
      </c>
      <c r="L325" s="2">
        <f>LN(1+E325)</f>
        <v>3.545279594023851e-05</v>
      </c>
      <c r="M325" s="2">
        <f>LN(1+C325+E325)</f>
        <v>0.006396929240558643</v>
      </c>
      <c r="N325" s="2">
        <f>LN(1+D325+E325)</f>
        <v>-0.006084899803117986</v>
      </c>
      <c r="O325" s="2">
        <f>LN(1+C325+E325+Inputs!$B$7/Inputs!$B$9)</f>
        <v>0.006406786567843649</v>
      </c>
      <c r="P325" s="2">
        <f>LN(1+D325+E325+Inputs!$B$8/Inputs!$B$9)</f>
        <v>-0.006084899803117986</v>
      </c>
      <c r="Q325" s="2">
        <f>LN(1+E325+Inputs!$B$6/Inputs!$B$9)</f>
        <v>5.529316554411844e-05</v>
      </c>
    </row>
    <row r="326" spans="1:17">
      <c r="A326" s="3">
        <v>42843</v>
      </c>
      <c r="B326" t="s">
        <v>56</v>
      </c>
      <c r="C326" s="2">
        <v>0.0009458028882345808</v>
      </c>
      <c r="D326" s="2">
        <v>-0.006359860279439797</v>
      </c>
      <c r="E326" s="2">
        <v>3.553247328147727E-05</v>
      </c>
      <c r="F326" s="2">
        <f>Inputs!$E$2*C326+Inputs!$F$2*D326</f>
        <v>-0.003059273857076</v>
      </c>
      <c r="G326" s="2">
        <f>Inputs!$E$3*C326+Inputs!$F$3*D326</f>
        <v>-0.0079155732017985</v>
      </c>
      <c r="H326" s="2">
        <f>F326^2</f>
        <v>9.359156532588665e-06</v>
      </c>
      <c r="I326" s="2">
        <f>G326^2</f>
        <v>6.265629911303056e-05</v>
      </c>
      <c r="J326" s="2">
        <f>LN(1+F326+E326)</f>
        <v>-0.0030283221260902805</v>
      </c>
      <c r="K326" s="2">
        <f>LN(1+G326+E326)</f>
        <v>-0.00791125232334418</v>
      </c>
      <c r="L326" s="2">
        <f>LN(1+E326)</f>
        <v>3.553184201765505e-05</v>
      </c>
      <c r="M326" s="2">
        <f>LN(1+C326+E326)</f>
        <v>0.0009808541667533572</v>
      </c>
      <c r="N326" s="2">
        <f>LN(1+D326+E326)</f>
        <v>-0.006344411087539563</v>
      </c>
      <c r="O326" s="2">
        <f>LN(1+C326+E326+Inputs!$B$7/Inputs!$B$9)</f>
        <v>0.0009907650266358296</v>
      </c>
      <c r="P326" s="2">
        <f>LN(1+D326+E326+Inputs!$B$8/Inputs!$B$9)</f>
        <v>-0.006344411087539563</v>
      </c>
      <c r="Q326" s="2">
        <f>LN(1+E326+Inputs!$B$6/Inputs!$B$9)</f>
        <v>5.5372210053247214e-05</v>
      </c>
    </row>
    <row r="327" spans="1:17">
      <c r="A327" s="3">
        <v>42844</v>
      </c>
      <c r="B327" t="s">
        <v>56</v>
      </c>
      <c r="C327" s="2">
        <v>0.003890940265237974</v>
      </c>
      <c r="D327" s="2">
        <v>-0.0102649828328014</v>
      </c>
      <c r="E327" s="2">
        <v>3.561152216530703E-05</v>
      </c>
      <c r="F327" s="2">
        <f>Inputs!$E$2*C327+Inputs!$F$2*D327</f>
        <v>-0.0030462374874902</v>
      </c>
      <c r="G327" s="2">
        <f>Inputs!$E$3*C327+Inputs!$F$3*D327</f>
        <v>-0.0134852614789326</v>
      </c>
      <c r="H327" s="2">
        <f>F327^2</f>
        <v>9.279562830190606e-06</v>
      </c>
      <c r="I327" s="2">
        <f>G327^2</f>
        <v>0.00018185227715518347</v>
      </c>
      <c r="J327" s="2">
        <f>LN(1+F327+E327)</f>
        <v>-0.003015167016237584</v>
      </c>
      <c r="K327" s="2">
        <f>LN(1+G327+E327)</f>
        <v>-0.013540915751229359</v>
      </c>
      <c r="L327" s="2">
        <f>LN(1+E327)</f>
        <v>3.561088808971146e-05</v>
      </c>
      <c r="M327" s="2">
        <f>LN(1+C327+E327)</f>
        <v>0.003918863003300672</v>
      </c>
      <c r="N327" s="2">
        <f>LN(1+D327+E327)</f>
        <v>-0.010282050889918641</v>
      </c>
      <c r="O327" s="2">
        <f>LN(1+C327+E327+Inputs!$B$7/Inputs!$B$9)</f>
        <v>0.003928744787865785</v>
      </c>
      <c r="P327" s="2">
        <f>LN(1+D327+E327+Inputs!$B$8/Inputs!$B$9)</f>
        <v>-0.010282050889918641</v>
      </c>
      <c r="Q327" s="2">
        <f>LN(1+E327+Inputs!$B$6/Inputs!$B$9)</f>
        <v>5.545125455701608e-05</v>
      </c>
    </row>
    <row r="328" spans="1:17">
      <c r="A328" s="3">
        <v>42845</v>
      </c>
      <c r="B328" t="s">
        <v>56</v>
      </c>
      <c r="C328" s="2">
        <v>-0.006154878587503167</v>
      </c>
      <c r="D328" s="2">
        <v>-0.005762621280245564</v>
      </c>
      <c r="E328" s="2">
        <v>3.569057104913679E-05</v>
      </c>
      <c r="F328" s="2">
        <f>Inputs!$E$2*C328+Inputs!$F$2*D328</f>
        <v>-0.008381475638150001</v>
      </c>
      <c r="G328" s="2">
        <f>Inputs!$E$3*C328+Inputs!$F$3*D328</f>
        <v>-0.0050686819600442995</v>
      </c>
      <c r="H328" s="2">
        <f>F328^2</f>
        <v>7.024913387290197e-05</v>
      </c>
      <c r="I328" s="2">
        <f>G328^2</f>
        <v>2.569153681207852e-05</v>
      </c>
      <c r="J328" s="2">
        <f>LN(1+F328+E328)</f>
        <v>-0.008380806119534297</v>
      </c>
      <c r="K328" s="2">
        <f>LN(1+G328+E328)</f>
        <v>-0.005045699548125171</v>
      </c>
      <c r="L328" s="2">
        <f>LN(1+E328)</f>
        <v>3.568993415574162e-05</v>
      </c>
      <c r="M328" s="2">
        <f>LN(1+C328+E328)</f>
        <v>-0.006137986976258639</v>
      </c>
      <c r="N328" s="2">
        <f>LN(1+D328+E328)</f>
        <v>-0.005743392457151018</v>
      </c>
      <c r="O328" s="2">
        <f>LN(1+C328+E328+Inputs!$B$7/Inputs!$B$9)</f>
        <v>-0.006128005311164689</v>
      </c>
      <c r="P328" s="2">
        <f>LN(1+D328+E328+Inputs!$B$8/Inputs!$B$9)</f>
        <v>-0.005743392457151018</v>
      </c>
      <c r="Q328" s="2">
        <f>LN(1+E328+Inputs!$B$6/Inputs!$B$9)</f>
        <v>5.553029905475895e-05</v>
      </c>
    </row>
    <row r="329" spans="1:17">
      <c r="A329" s="3">
        <v>42846</v>
      </c>
      <c r="B329" t="s">
        <v>56</v>
      </c>
      <c r="C329" s="2">
        <v>-0.01408717433554921</v>
      </c>
      <c r="D329" s="2">
        <v>0.004014637138289941</v>
      </c>
      <c r="E329" s="2">
        <v>3.576961993296655E-05</v>
      </c>
      <c r="F329" s="2">
        <f>Inputs!$E$2*C329+Inputs!$F$2*D329</f>
        <v>-0.0088609571854652</v>
      </c>
      <c r="G329" s="2">
        <f>Inputs!$E$3*C329+Inputs!$F$3*D329</f>
        <v>0.009043716866612699</v>
      </c>
      <c r="H329" s="2">
        <f>F329^2</f>
        <v>7.851656224264736e-05</v>
      </c>
      <c r="I329" s="2">
        <f>G329^2</f>
        <v>8.178881476345501e-05</v>
      </c>
      <c r="J329" s="2">
        <f>LN(1+F329+E329)</f>
        <v>-0.008864360174024923</v>
      </c>
      <c r="K329" s="2">
        <f>LN(1+G329+E329)</f>
        <v>0.009038515757831721</v>
      </c>
      <c r="L329" s="2">
        <f>LN(1+E329)</f>
        <v>3.576898021530147e-05</v>
      </c>
      <c r="M329" s="2">
        <f>LN(1+C329+E329)</f>
        <v>-0.014151060338573301</v>
      </c>
      <c r="N329" s="2">
        <f>LN(1+D329+E329)</f>
        <v>0.004042225943746757</v>
      </c>
      <c r="O329" s="2">
        <f>LN(1+C329+E329+Inputs!$B$7/Inputs!$B$9)</f>
        <v>-0.014140998368752933</v>
      </c>
      <c r="P329" s="2">
        <f>LN(1+D329+E329+Inputs!$B$8/Inputs!$B$9)</f>
        <v>0.004042225943746757</v>
      </c>
      <c r="Q329" s="2">
        <f>LN(1+E329+Inputs!$B$6/Inputs!$B$9)</f>
        <v>5.560934354603175e-05</v>
      </c>
    </row>
    <row r="330" spans="1:17">
      <c r="A330" s="3">
        <v>42849</v>
      </c>
      <c r="B330" t="s">
        <v>56</v>
      </c>
      <c r="C330" s="2">
        <v>0.006895267496040491</v>
      </c>
      <c r="D330" s="2">
        <v>0.008838930847720064</v>
      </c>
      <c r="E330" s="2">
        <v>3.584866881679631E-05</v>
      </c>
      <c r="F330" s="2">
        <f>Inputs!$E$2*C330+Inputs!$F$2*D330</f>
        <v>0.010819572505464</v>
      </c>
      <c r="G330" s="2">
        <f>Inputs!$E$3*C330+Inputs!$F$3*D330</f>
        <v>0.008538136768451998</v>
      </c>
      <c r="H330" s="2">
        <f>F330^2</f>
        <v>0.00011706314920099254</v>
      </c>
      <c r="I330" s="2">
        <f>G330^2</f>
        <v>7.289977947679193e-05</v>
      </c>
      <c r="J330" s="2">
        <f>LN(1+F330+E330)</f>
        <v>0.010796924049702106</v>
      </c>
      <c r="K330" s="2">
        <f>LN(1+G330+E330)</f>
        <v>0.00853743758272642</v>
      </c>
      <c r="L330" s="2">
        <f>LN(1+E330)</f>
        <v>3.5848026268835075e-05</v>
      </c>
      <c r="M330" s="2">
        <f>LN(1+C330+E330)</f>
        <v>0.006907206396554601</v>
      </c>
      <c r="N330" s="2">
        <f>LN(1+D330+E330)</f>
        <v>0.008835630118489382</v>
      </c>
      <c r="O330" s="2">
        <f>LN(1+C330+E330+Inputs!$B$7/Inputs!$B$9)</f>
        <v>0.006917058695178567</v>
      </c>
      <c r="P330" s="2">
        <f>LN(1+D330+E330+Inputs!$B$8/Inputs!$B$9)</f>
        <v>0.008835630118489382</v>
      </c>
      <c r="Q330" s="2">
        <f>LN(1+E330+Inputs!$B$6/Inputs!$B$9)</f>
        <v>5.568838803127855e-05</v>
      </c>
    </row>
    <row r="331" spans="1:17">
      <c r="A331" s="3">
        <v>42850</v>
      </c>
      <c r="B331" t="s">
        <v>56</v>
      </c>
      <c r="C331" s="2">
        <v>0.005364624985792044</v>
      </c>
      <c r="D331" s="2">
        <v>0.01138012441944654</v>
      </c>
      <c r="E331" s="2">
        <v>3.592771770062607E-05</v>
      </c>
      <c r="F331" s="2">
        <f>Inputs!$E$2*C331+Inputs!$F$2*D331</f>
        <v>0.0111197746403018</v>
      </c>
      <c r="G331" s="2">
        <f>Inputs!$E$3*C331+Inputs!$F$3*D331</f>
        <v>0.012046761807598798</v>
      </c>
      <c r="H331" s="2">
        <f>F331^2</f>
        <v>0.00012364938805109902</v>
      </c>
      <c r="I331" s="2">
        <f>G331^2</f>
        <v>0.00014512447004902106</v>
      </c>
      <c r="J331" s="2">
        <f>LN(1+F331+E331)</f>
        <v>0.011093936447343637</v>
      </c>
      <c r="K331" s="2">
        <f>LN(1+G331+E331)</f>
        <v>0.01201027654436843</v>
      </c>
      <c r="L331" s="2">
        <f>LN(1+E331)</f>
        <v>3.592707231589837e-05</v>
      </c>
      <c r="M331" s="2">
        <f>LN(1+C331+E331)</f>
        <v>0.005386022011110944</v>
      </c>
      <c r="N331" s="2">
        <f>LN(1+D331+E331)</f>
        <v>0.011351380743205526</v>
      </c>
      <c r="O331" s="2">
        <f>LN(1+C331+E331+Inputs!$B$7/Inputs!$B$9)</f>
        <v>0.0053958893082286415</v>
      </c>
      <c r="P331" s="2">
        <f>LN(1+D331+E331+Inputs!$B$8/Inputs!$B$9)</f>
        <v>0.011351380743205526</v>
      </c>
      <c r="Q331" s="2">
        <f>LN(1+E331+Inputs!$B$6/Inputs!$B$9)</f>
        <v>5.5767432510055294e-05</v>
      </c>
    </row>
    <row r="332" spans="1:17">
      <c r="A332" s="3">
        <v>42851</v>
      </c>
      <c r="B332" t="s">
        <v>56</v>
      </c>
      <c r="C332" s="2">
        <v>-0.0008316715573731661</v>
      </c>
      <c r="D332" s="2">
        <v>-0.006056401446822008</v>
      </c>
      <c r="E332" s="2">
        <v>3.600676658445583E-05</v>
      </c>
      <c r="F332" s="2">
        <f>Inputs!$E$2*C332+Inputs!$F$2*D332</f>
        <v>-0.0042991781139916</v>
      </c>
      <c r="G332" s="2">
        <f>Inputs!$E$3*C332+Inputs!$F$3*D332</f>
        <v>-0.0070181802689744995</v>
      </c>
      <c r="H332" s="2">
        <f>F332^2</f>
        <v>1.848293245582437e-05</v>
      </c>
      <c r="I332" s="2">
        <f>G332^2</f>
        <v>4.925485428782298e-05</v>
      </c>
      <c r="J332" s="2">
        <f>LN(1+F332+E332)</f>
        <v>-0.0042722845724254286</v>
      </c>
      <c r="K332" s="2">
        <f>LN(1+G332+E332)</f>
        <v>-0.007006662935353862</v>
      </c>
      <c r="L332" s="2">
        <f>LN(1+E332)</f>
        <v>3.6006118356047274e-05</v>
      </c>
      <c r="M332" s="2">
        <f>LN(1+C332+E332)</f>
        <v>-0.0007959815000260172</v>
      </c>
      <c r="N332" s="2">
        <f>LN(1+D332+E332)</f>
        <v>-0.006038590323015406</v>
      </c>
      <c r="O332" s="2">
        <f>LN(1+C332+E332+Inputs!$B$7/Inputs!$B$9)</f>
        <v>-0.0007860530146074336</v>
      </c>
      <c r="P332" s="2">
        <f>LN(1+D332+E332+Inputs!$B$8/Inputs!$B$9)</f>
        <v>-0.006038590323015406</v>
      </c>
      <c r="Q332" s="2">
        <f>LN(1+E332+Inputs!$B$6/Inputs!$B$9)</f>
        <v>5.5846476981917905e-05</v>
      </c>
    </row>
    <row r="333" spans="1:17">
      <c r="A333" s="3">
        <v>42852</v>
      </c>
      <c r="B333" t="s">
        <v>56</v>
      </c>
      <c r="C333" s="2">
        <v>-0.003324904543072306</v>
      </c>
      <c r="D333" s="2">
        <v>-0.004064136795654136</v>
      </c>
      <c r="E333" s="2">
        <v>3.608581546828559E-05</v>
      </c>
      <c r="F333" s="2">
        <f>Inputs!$E$2*C333+Inputs!$F$2*D333</f>
        <v>-0.00509840571185</v>
      </c>
      <c r="G333" s="2">
        <f>Inputs!$E$3*C333+Inputs!$F$3*D333</f>
        <v>-0.0038794927918631996</v>
      </c>
      <c r="H333" s="2">
        <f>F333^2</f>
        <v>2.5993740802624708e-05</v>
      </c>
      <c r="I333" s="2">
        <f>G333^2</f>
        <v>1.5050464322118523e-05</v>
      </c>
      <c r="J333" s="2">
        <f>LN(1+F333+E333)</f>
        <v>-0.005075176846766909</v>
      </c>
      <c r="K333" s="2">
        <f>LN(1+G333+E333)</f>
        <v>-0.003850811844358399</v>
      </c>
      <c r="L333" s="2">
        <f>LN(1+E333)</f>
        <v>3.608516439061401e-05</v>
      </c>
      <c r="M333" s="2">
        <f>LN(1+C333+E333)</f>
        <v>-0.003294238778888976</v>
      </c>
      <c r="N333" s="2">
        <f>LN(1+D333+E333)</f>
        <v>-0.004036185428866318</v>
      </c>
      <c r="O333" s="2">
        <f>LN(1+C333+E333+Inputs!$B$7/Inputs!$B$9)</f>
        <v>-0.0032842854586739288</v>
      </c>
      <c r="P333" s="2">
        <f>LN(1+D333+E333+Inputs!$B$8/Inputs!$B$9)</f>
        <v>-0.004036185428866318</v>
      </c>
      <c r="Q333" s="2">
        <f>LN(1+E333+Inputs!$B$6/Inputs!$B$9)</f>
        <v>5.592552144819859e-05</v>
      </c>
    </row>
    <row r="334" spans="1:17">
      <c r="A334" s="3">
        <v>42853</v>
      </c>
      <c r="B334" t="s">
        <v>56</v>
      </c>
      <c r="C334" s="2">
        <v>-0.002086140771423245</v>
      </c>
      <c r="D334" s="2">
        <v>0.001809584081461593</v>
      </c>
      <c r="E334" s="2">
        <v>3.616486435211535E-05</v>
      </c>
      <c r="F334" s="2">
        <f>Inputs!$E$2*C334+Inputs!$F$2*D334</f>
        <v>-0.0005831621682612</v>
      </c>
      <c r="G334" s="2">
        <f>Inputs!$E$3*C334+Inputs!$F$3*D334</f>
        <v>0.0027973431291813</v>
      </c>
      <c r="H334" s="2">
        <f>F334^2</f>
        <v>3.400781144911042e-07</v>
      </c>
      <c r="I334" s="2">
        <f>G334^2</f>
        <v>7.825128582377827e-06</v>
      </c>
      <c r="J334" s="2">
        <f>LN(1+F334+E334)</f>
        <v>-0.0005471469615117696</v>
      </c>
      <c r="K334" s="2">
        <f>LN(1+G334+E334)</f>
        <v>0.0028295011768721258</v>
      </c>
      <c r="L334" s="2">
        <f>LN(1+E334)</f>
        <v>3.616421041915451e-05</v>
      </c>
      <c r="M334" s="2">
        <f>LN(1+C334+E334)</f>
        <v>-0.002052079983710178</v>
      </c>
      <c r="N334" s="2">
        <f>LN(1+D334+E334)</f>
        <v>0.0018440476443572077</v>
      </c>
      <c r="O334" s="2">
        <f>LN(1+C334+E334+Inputs!$B$7/Inputs!$B$9)</f>
        <v>-0.0020421390193623608</v>
      </c>
      <c r="P334" s="2">
        <f>LN(1+D334+E334+Inputs!$B$8/Inputs!$B$9)</f>
        <v>0.0018440476443572077</v>
      </c>
      <c r="Q334" s="2">
        <f>LN(1+E334+Inputs!$B$6/Inputs!$B$9)</f>
        <v>5.600456590845328e-05</v>
      </c>
    </row>
    <row r="335" spans="1:17">
      <c r="A335" s="3">
        <v>42856</v>
      </c>
      <c r="B335" t="s">
        <v>57</v>
      </c>
      <c r="C335" s="2">
        <v>-0.0009401472151184708</v>
      </c>
      <c r="D335" s="2">
        <v>0.001185363705411994</v>
      </c>
      <c r="E335" s="2">
        <v>3.624391323594511E-05</v>
      </c>
      <c r="F335" s="2">
        <f>Inputs!$E$2*C335+Inputs!$F$2*D335</f>
        <v>-4.089954884720017e-05</v>
      </c>
      <c r="G335" s="2">
        <f>Inputs!$E$3*C335+Inputs!$F$3*D335</f>
        <v>0.0017044806110297999</v>
      </c>
      <c r="H335" s="2">
        <f>F335^2</f>
        <v>1.6727730959045125e-09</v>
      </c>
      <c r="I335" s="2">
        <f>G335^2</f>
        <v>2.90525415337652e-06</v>
      </c>
      <c r="J335" s="2">
        <f>LN(1+F335+E335)</f>
        <v>-4.655646448755485e-06</v>
      </c>
      <c r="K335" s="2">
        <f>LN(1+G335+E335)</f>
        <v>0.001739211219241344</v>
      </c>
      <c r="L335" s="2">
        <f>LN(1+E335)</f>
        <v>3.62432564412247e-05</v>
      </c>
      <c r="M335" s="2">
        <f>LN(1+C335+E335)</f>
        <v>-0.0009043120688140516</v>
      </c>
      <c r="N335" s="2">
        <f>LN(1+D335+E335)</f>
        <v>0.0012208620631833959</v>
      </c>
      <c r="O335" s="2">
        <f>LN(1+C335+E335+Inputs!$B$7/Inputs!$B$9)</f>
        <v>-0.0008943825077840756</v>
      </c>
      <c r="P335" s="2">
        <f>LN(1+D335+E335+Inputs!$B$8/Inputs!$B$9)</f>
        <v>0.0012208620631833959</v>
      </c>
      <c r="Q335" s="2">
        <f>LN(1+E335+Inputs!$B$6/Inputs!$B$9)</f>
        <v>5.608361036223791e-05</v>
      </c>
    </row>
    <row r="336" spans="1:17">
      <c r="A336" s="3">
        <v>42857</v>
      </c>
      <c r="B336" t="s">
        <v>57</v>
      </c>
      <c r="C336" s="2">
        <v>-0.003651142367768</v>
      </c>
      <c r="D336" s="2">
        <v>0.001587897388362771</v>
      </c>
      <c r="E336" s="2">
        <v>3.632296211977487E-05</v>
      </c>
      <c r="F336" s="2">
        <f>Inputs!$E$2*C336+Inputs!$F$2*D336</f>
        <v>-0.0019681754611966004</v>
      </c>
      <c r="G336" s="2">
        <f>Inputs!$E$3*C336+Inputs!$F$3*D336</f>
        <v>0.003000819576366</v>
      </c>
      <c r="H336" s="2">
        <f>F336^2</f>
        <v>3.87371464605645e-06</v>
      </c>
      <c r="I336" s="2">
        <f>G336^2</f>
        <v>9.00491812990142e-06</v>
      </c>
      <c r="J336" s="2">
        <f>LN(1+F336+E336)</f>
        <v>-0.0019337209328625544</v>
      </c>
      <c r="K336" s="2">
        <f>LN(1+G336+E336)</f>
        <v>0.0030325397383050984</v>
      </c>
      <c r="L336" s="2">
        <f>LN(1+E336)</f>
        <v>3.632230245726865e-05</v>
      </c>
      <c r="M336" s="2">
        <f>LN(1+C336+E336)</f>
        <v>-0.003621368652976837</v>
      </c>
      <c r="N336" s="2">
        <f>LN(1+D336+E336)</f>
        <v>0.0016229027311527224</v>
      </c>
      <c r="O336" s="2">
        <f>LN(1+C336+E336+Inputs!$B$7/Inputs!$B$9)</f>
        <v>-0.003611412076216983</v>
      </c>
      <c r="P336" s="2">
        <f>LN(1+D336+E336+Inputs!$B$8/Inputs!$B$9)</f>
        <v>0.0016229027311527224</v>
      </c>
      <c r="Q336" s="2">
        <f>LN(1+E336+Inputs!$B$6/Inputs!$B$9)</f>
        <v>5.6162654809996544e-05</v>
      </c>
    </row>
    <row r="337" spans="1:17">
      <c r="A337" s="3">
        <v>42858</v>
      </c>
      <c r="B337" t="s">
        <v>57</v>
      </c>
      <c r="C337" s="2">
        <v>-0.01442507008314284</v>
      </c>
      <c r="D337" s="2">
        <v>-0.01029422051260599</v>
      </c>
      <c r="E337" s="2">
        <v>3.640201100360463E-05</v>
      </c>
      <c r="F337" s="2">
        <f>Inputs!$E$2*C337+Inputs!$F$2*D337</f>
        <v>-0.017716588374078</v>
      </c>
      <c r="G337" s="2">
        <f>Inputs!$E$3*C337+Inputs!$F$3*D337</f>
        <v>-0.008025543590184302</v>
      </c>
      <c r="H337" s="2">
        <f>F337^2</f>
        <v>0.00031387750361651574</v>
      </c>
      <c r="I337" s="2">
        <f>G337^2</f>
        <v>6.440934991794834e-05</v>
      </c>
      <c r="J337" s="2">
        <f>LN(1+F337+E337)</f>
        <v>-0.017838347847173225</v>
      </c>
      <c r="K337" s="2">
        <f>LN(1+G337+E337)</f>
        <v>-0.008021225768441612</v>
      </c>
      <c r="L337" s="2">
        <f>LN(1+E337)</f>
        <v>3.640134846684229e-05</v>
      </c>
      <c r="M337" s="2">
        <f>LN(1+C337+E337)</f>
        <v>-0.014493188777235298</v>
      </c>
      <c r="N337" s="2">
        <f>LN(1+D337+E337)</f>
        <v>-0.010310792498279663</v>
      </c>
      <c r="O337" s="2">
        <f>LN(1+C337+E337+Inputs!$B$7/Inputs!$B$9)</f>
        <v>-0.014483123364357278</v>
      </c>
      <c r="P337" s="2">
        <f>LN(1+D337+E337+Inputs!$B$8/Inputs!$B$9)</f>
        <v>-0.010310792498279663</v>
      </c>
      <c r="Q337" s="2">
        <f>LN(1+E337+Inputs!$B$6/Inputs!$B$9)</f>
        <v>5.624169925128513e-05</v>
      </c>
    </row>
    <row r="338" spans="1:17">
      <c r="A338" s="3">
        <v>42859</v>
      </c>
      <c r="B338" t="s">
        <v>57</v>
      </c>
      <c r="C338" s="2">
        <v>0.006474299257248471</v>
      </c>
      <c r="D338" s="2">
        <v>-0.00100742229753907</v>
      </c>
      <c r="E338" s="2">
        <v>3.648105988743439E-05</v>
      </c>
      <c r="F338" s="2">
        <f>Inputs!$E$2*C338+Inputs!$F$2*D338</f>
        <v>0.0045749860272750005</v>
      </c>
      <c r="G338" s="2">
        <f>Inputs!$E$3*C338+Inputs!$F$3*D338</f>
        <v>-0.0031511965342211996</v>
      </c>
      <c r="H338" s="2">
        <f>F338^2</f>
        <v>2.093049714976149e-05</v>
      </c>
      <c r="I338" s="2">
        <f>G338^2</f>
        <v>9.9300395972877e-06</v>
      </c>
      <c r="J338" s="2">
        <f>LN(1+F338+E338)</f>
        <v>0.004600866848755013</v>
      </c>
      <c r="K338" s="2">
        <f>LN(1+G338+E338)</f>
        <v>-0.0031195762965870347</v>
      </c>
      <c r="L338" s="2">
        <f>LN(1+E338)</f>
        <v>3.6480394469279517e-05</v>
      </c>
      <c r="M338" s="2">
        <f>LN(1+C338+E338)</f>
        <v>0.00648967673795053</v>
      </c>
      <c r="N338" s="2">
        <f>LN(1+D338+E338)</f>
        <v>-0.0009714129064287139</v>
      </c>
      <c r="O338" s="2">
        <f>LN(1+C338+E338+Inputs!$B$7/Inputs!$B$9)</f>
        <v>0.006499533151040001</v>
      </c>
      <c r="P338" s="2">
        <f>LN(1+D338+E338+Inputs!$B$8/Inputs!$B$9)</f>
        <v>-0.0009714129064287139</v>
      </c>
      <c r="Q338" s="2">
        <f>LN(1+E338+Inputs!$B$6/Inputs!$B$9)</f>
        <v>5.6320743685437555e-05</v>
      </c>
    </row>
    <row r="339" spans="1:17">
      <c r="A339" s="3">
        <v>42860</v>
      </c>
      <c r="B339" t="s">
        <v>57</v>
      </c>
      <c r="C339" s="2">
        <v>-0.01190429438693666</v>
      </c>
      <c r="D339" s="2">
        <v>0.003871233697310865</v>
      </c>
      <c r="E339" s="2">
        <v>3.656010877126415E-05</v>
      </c>
      <c r="F339" s="2">
        <f>Inputs!$E$2*C339+Inputs!$F$2*D339</f>
        <v>-0.007200695291163001</v>
      </c>
      <c r="G339" s="2">
        <f>Inputs!$E$3*C339+Inputs!$F$3*D339</f>
        <v>0.008216768752854299</v>
      </c>
      <c r="H339" s="2">
        <f>F339^2</f>
        <v>5.1850012676177016e-05</v>
      </c>
      <c r="I339" s="2">
        <f>G339^2</f>
        <v>6.75152887378828e-05</v>
      </c>
      <c r="J339" s="2">
        <f>LN(1+F339+E339)</f>
        <v>-0.0071899208272182295</v>
      </c>
      <c r="K339" s="2">
        <f>LN(1+G339+E339)</f>
        <v>0.008219456389123782</v>
      </c>
      <c r="L339" s="2">
        <f>LN(1+E339)</f>
        <v>3.655944046657866e-05</v>
      </c>
      <c r="M339" s="2">
        <f>LN(1+C339+E339)</f>
        <v>-0.011938718006259863</v>
      </c>
      <c r="N339" s="2">
        <f>LN(1+D339+E339)</f>
        <v>0.0039001782135294374</v>
      </c>
      <c r="O339" s="2">
        <f>LN(1+C339+E339+Inputs!$B$7/Inputs!$B$9)</f>
        <v>-0.011928678272243854</v>
      </c>
      <c r="P339" s="2">
        <f>LN(1+D339+E339+Inputs!$B$8/Inputs!$B$9)</f>
        <v>0.0039001782135294374</v>
      </c>
      <c r="Q339" s="2">
        <f>LN(1+E339+Inputs!$B$6/Inputs!$B$9)</f>
        <v>5.6399788114452124e-05</v>
      </c>
    </row>
    <row r="340" spans="1:17">
      <c r="A340" s="3">
        <v>42863</v>
      </c>
      <c r="B340" t="s">
        <v>57</v>
      </c>
      <c r="C340" s="2">
        <v>-0.002725721293867686</v>
      </c>
      <c r="D340" s="2">
        <v>0.001840458479449452</v>
      </c>
      <c r="E340" s="2">
        <v>3.663915765509391E-05</v>
      </c>
      <c r="F340" s="2">
        <f>Inputs!$E$2*C340+Inputs!$F$2*D340</f>
        <v>-0.0010763019474250004</v>
      </c>
      <c r="G340" s="2">
        <f>Inputs!$E$3*C340+Inputs!$F$3*D340</f>
        <v>0.0030262665634992</v>
      </c>
      <c r="H340" s="2">
        <f>F340^2</f>
        <v>1.1584258820308484e-06</v>
      </c>
      <c r="I340" s="2">
        <f>G340^2</f>
        <v>9.158289313353257e-06</v>
      </c>
      <c r="J340" s="2">
        <f>LN(1+F340+E340)</f>
        <v>-0.0010402036140106828</v>
      </c>
      <c r="K340" s="2">
        <f>LN(1+G340+E340)</f>
        <v>0.0030582245815828617</v>
      </c>
      <c r="L340" s="2">
        <f>LN(1+E340)</f>
        <v>3.663848645740749e-05</v>
      </c>
      <c r="M340" s="2">
        <f>LN(1+C340+E340)</f>
        <v>-0.0026927042124115486</v>
      </c>
      <c r="N340" s="2">
        <f>LN(1+D340+E340)</f>
        <v>0.0018753380908835356</v>
      </c>
      <c r="O340" s="2">
        <f>LN(1+C340+E340+Inputs!$B$7/Inputs!$B$9)</f>
        <v>-0.0026827568776324794</v>
      </c>
      <c r="P340" s="2">
        <f>LN(1+D340+E340+Inputs!$B$8/Inputs!$B$9)</f>
        <v>0.0018753380908835356</v>
      </c>
      <c r="Q340" s="2">
        <f>LN(1+E340+Inputs!$B$6/Inputs!$B$9)</f>
        <v>5.6478832536996635e-05</v>
      </c>
    </row>
    <row r="341" spans="1:17">
      <c r="A341" s="3">
        <v>42864</v>
      </c>
      <c r="B341" t="s">
        <v>57</v>
      </c>
      <c r="C341" s="2">
        <v>-0.00241699147983498</v>
      </c>
      <c r="D341" s="2">
        <v>-0.000477976103656151</v>
      </c>
      <c r="E341" s="2">
        <v>3.671820653892368E-05</v>
      </c>
      <c r="F341" s="2">
        <f>Inputs!$E$2*C341+Inputs!$F$2*D341</f>
        <v>-0.0022203788460616004</v>
      </c>
      <c r="G341" s="2">
        <f>Inputs!$E$3*C341+Inputs!$F$3*D341</f>
        <v>0.00015152611956330004</v>
      </c>
      <c r="H341" s="2">
        <f>F341^2</f>
        <v>4.9300822200378445e-06</v>
      </c>
      <c r="I341" s="2">
        <f>G341^2</f>
        <v>2.29601649099115e-08</v>
      </c>
      <c r="J341" s="2">
        <f>LN(1+F341+E341)</f>
        <v>-0.002186048302947892</v>
      </c>
      <c r="K341" s="2">
        <f>LN(1+G341+E341)</f>
        <v>0.00018822661036238452</v>
      </c>
      <c r="L341" s="2">
        <f>LN(1+E341)</f>
        <v>3.671753244221009e-05</v>
      </c>
      <c r="M341" s="2">
        <f>LN(1+C341+E341)</f>
        <v>-0.002383110627069507</v>
      </c>
      <c r="N341" s="2">
        <f>LN(1+D341+E341)</f>
        <v>-0.00044135528003116665</v>
      </c>
      <c r="O341" s="2">
        <f>LN(1+C341+E341+Inputs!$B$7/Inputs!$B$9)</f>
        <v>-0.002373166371429499</v>
      </c>
      <c r="P341" s="2">
        <f>LN(1+D341+E341+Inputs!$B$8/Inputs!$B$9)</f>
        <v>-0.00044135528003116665</v>
      </c>
      <c r="Q341" s="2">
        <f>LN(1+E341+Inputs!$B$6/Inputs!$B$9)</f>
        <v>5.6557876953515164e-05</v>
      </c>
    </row>
    <row r="342" spans="1:17">
      <c r="A342" s="3">
        <v>42865</v>
      </c>
      <c r="B342" t="s">
        <v>57</v>
      </c>
      <c r="C342" s="2">
        <v>0.002179473148796371</v>
      </c>
      <c r="D342" s="2">
        <v>-0.003889991919326599</v>
      </c>
      <c r="E342" s="2">
        <v>3.679725542275344E-05</v>
      </c>
      <c r="F342" s="2">
        <f>Inputs!$E$2*C342+Inputs!$F$2*D342</f>
        <v>-0.0005904166325593999</v>
      </c>
      <c r="G342" s="2">
        <f>Inputs!$E$3*C342+Inputs!$F$3*D342</f>
        <v>-0.0053218322478312</v>
      </c>
      <c r="H342" s="2">
        <f>F342^2</f>
        <v>3.4859180000278144e-07</v>
      </c>
      <c r="I342" s="2">
        <f>G342^2</f>
        <v>2.8321898474056085e-05</v>
      </c>
      <c r="J342" s="2">
        <f>LN(1+F342+E342)</f>
        <v>-0.0005537726809276641</v>
      </c>
      <c r="K342" s="2">
        <f>LN(1+G342+E342)</f>
        <v>-0.005299050192200892</v>
      </c>
      <c r="L342" s="2">
        <f>LN(1+E342)</f>
        <v>3.6796578420542384e-05</v>
      </c>
      <c r="M342" s="2">
        <f>LN(1+C342+E342)</f>
        <v>0.002213818099611722</v>
      </c>
      <c r="N342" s="2">
        <f>LN(1+D342+E342)</f>
        <v>-0.0038606373433430897</v>
      </c>
      <c r="O342" s="2">
        <f>LN(1+C342+E342+Inputs!$B$7/Inputs!$B$9)</f>
        <v>0.0022237167473520073</v>
      </c>
      <c r="P342" s="2">
        <f>LN(1+D342+E342+Inputs!$B$8/Inputs!$B$9)</f>
        <v>-0.0038606373433430897</v>
      </c>
      <c r="Q342" s="2">
        <f>LN(1+E342+Inputs!$B$6/Inputs!$B$9)</f>
        <v>5.6636921363563635e-05</v>
      </c>
    </row>
    <row r="343" spans="1:17">
      <c r="A343" s="3">
        <v>42866</v>
      </c>
      <c r="B343" t="s">
        <v>57</v>
      </c>
      <c r="C343" s="2">
        <v>-0.01228419846021177</v>
      </c>
      <c r="D343" s="2">
        <v>-0.000297640315888134</v>
      </c>
      <c r="E343" s="2">
        <v>3.687630430658319E-05</v>
      </c>
      <c r="F343" s="2">
        <f>Inputs!$E$2*C343+Inputs!$F$2*D343</f>
        <v>-0.0100059429577024</v>
      </c>
      <c r="G343" s="2">
        <f>Inputs!$E$3*C343+Inputs!$F$3*D343</f>
        <v>0.003328091158998</v>
      </c>
      <c r="H343" s="2">
        <f>F343^2</f>
        <v>0.00010011889447279426</v>
      </c>
      <c r="I343" s="2">
        <f>G343^2</f>
        <v>1.1076190762600652e-05</v>
      </c>
      <c r="J343" s="2">
        <f>LN(1+F343+E343)</f>
        <v>-0.01001909053699028</v>
      </c>
      <c r="K343" s="2">
        <f>LN(1+G343+E343)</f>
        <v>0.003359318628839448</v>
      </c>
      <c r="L343" s="2">
        <f>LN(1+E343)</f>
        <v>3.6875624392848455e-05</v>
      </c>
      <c r="M343" s="2">
        <f>LN(1+C343+E343)</f>
        <v>-0.012322938639799018</v>
      </c>
      <c r="N343" s="2">
        <f>LN(1+D343+E343)</f>
        <v>-0.00026079801642741717</v>
      </c>
      <c r="O343" s="2">
        <f>LN(1+C343+E343+Inputs!$B$7/Inputs!$B$9)</f>
        <v>-0.012312895047588264</v>
      </c>
      <c r="P343" s="2">
        <f>LN(1+D343+E343+Inputs!$B$8/Inputs!$B$9)</f>
        <v>-0.00026079801642741717</v>
      </c>
      <c r="Q343" s="2">
        <f>LN(1+E343+Inputs!$B$6/Inputs!$B$9)</f>
        <v>5.6715965767586124e-05</v>
      </c>
    </row>
    <row r="344" spans="1:17">
      <c r="A344" s="3">
        <v>42867</v>
      </c>
      <c r="B344" t="s">
        <v>57</v>
      </c>
      <c r="C344" s="2">
        <v>0.01002397487291666</v>
      </c>
      <c r="D344" s="2">
        <v>0.008837384799216355</v>
      </c>
      <c r="E344" s="2">
        <v>3.695535319041295E-05</v>
      </c>
      <c r="F344" s="2">
        <f>Inputs!$E$2*C344+Inputs!$F$2*D344</f>
        <v>0.013321610777863202</v>
      </c>
      <c r="G344" s="2">
        <f>Inputs!$E$3*C344+Inputs!$F$3*D344</f>
        <v>0.0075976692971841</v>
      </c>
      <c r="H344" s="2">
        <f>F344^2</f>
        <v>0.00017746531371688103</v>
      </c>
      <c r="I344" s="2">
        <f>G344^2</f>
        <v>5.772457874937393e-05</v>
      </c>
      <c r="J344" s="2">
        <f>LN(1+F344+E344)</f>
        <v>0.013270127227224884</v>
      </c>
      <c r="K344" s="2">
        <f>LN(1+G344+E344)</f>
        <v>0.0076056283937734</v>
      </c>
      <c r="L344" s="2">
        <f>LN(1+E344)</f>
        <v>3.695467035779607e-05</v>
      </c>
      <c r="M344" s="2">
        <f>LN(1+C344+E344)</f>
        <v>0.010010655990111994</v>
      </c>
      <c r="N344" s="2">
        <f>LN(1+D344+E344)</f>
        <v>0.008835194619222827</v>
      </c>
      <c r="O344" s="2">
        <f>LN(1+C344+E344+Inputs!$B$7/Inputs!$B$9)</f>
        <v>0.01002047776017039</v>
      </c>
      <c r="P344" s="2">
        <f>LN(1+D344+E344+Inputs!$B$8/Inputs!$B$9)</f>
        <v>0.008835194619222827</v>
      </c>
      <c r="Q344" s="2">
        <f>LN(1+E344+Inputs!$B$6/Inputs!$B$9)</f>
        <v>5.679501016425044e-05</v>
      </c>
    </row>
    <row r="345" spans="1:17">
      <c r="A345" s="3">
        <v>42870</v>
      </c>
      <c r="B345" t="s">
        <v>57</v>
      </c>
      <c r="C345" s="2">
        <v>0.005606805928983371</v>
      </c>
      <c r="D345" s="2">
        <v>0.003103368313756952</v>
      </c>
      <c r="E345" s="2">
        <v>3.703440207424271E-05</v>
      </c>
      <c r="F345" s="2">
        <f>Inputs!$E$2*C345+Inputs!$F$2*D345</f>
        <v>0.0063474657314406</v>
      </c>
      <c r="G345" s="2">
        <f>Inputs!$E$3*C345+Inputs!$F$3*D345</f>
        <v>0.0020420001978134995</v>
      </c>
      <c r="H345" s="2">
        <f>F345^2</f>
        <v>4.029032121181275e-05</v>
      </c>
      <c r="I345" s="2">
        <f>G345^2</f>
        <v>4.1697648078703715e-06</v>
      </c>
      <c r="J345" s="2">
        <f>LN(1+F345+E345)</f>
        <v>0.006364205547260697</v>
      </c>
      <c r="K345" s="2">
        <f>LN(1+G345+E345)</f>
        <v>0.002076876398253144</v>
      </c>
      <c r="L345" s="2">
        <f>LN(1+E345)</f>
        <v>3.703371631738357e-05</v>
      </c>
      <c r="M345" s="2">
        <f>LN(1+C345+E345)</f>
        <v>0.005627973535993939</v>
      </c>
      <c r="N345" s="2">
        <f>LN(1+D345+E345)</f>
        <v>0.00313548195065335</v>
      </c>
      <c r="O345" s="2">
        <f>LN(1+C345+E345+Inputs!$B$7/Inputs!$B$9)</f>
        <v>0.005637838446004621</v>
      </c>
      <c r="P345" s="2">
        <f>LN(1+D345+E345+Inputs!$B$8/Inputs!$B$9)</f>
        <v>0.00313548195065335</v>
      </c>
      <c r="Q345" s="2">
        <f>LN(1+E345+Inputs!$B$6/Inputs!$B$9)</f>
        <v>5.6874054555554855e-05</v>
      </c>
    </row>
    <row r="346" spans="1:17">
      <c r="A346" s="3">
        <v>42871</v>
      </c>
      <c r="B346" t="s">
        <v>57</v>
      </c>
      <c r="C346" s="2">
        <v>0.006445833746602288</v>
      </c>
      <c r="D346" s="2">
        <v>0.006099119845673911</v>
      </c>
      <c r="E346" s="2">
        <v>3.711345095807247E-05</v>
      </c>
      <c r="F346" s="2">
        <f>Inputs!$E$2*C346+Inputs!$F$2*D346</f>
        <v>0.008816138904685999</v>
      </c>
      <c r="G346" s="2">
        <f>Inputs!$E$3*C346+Inputs!$F$3*D346</f>
        <v>0.005385193690828199</v>
      </c>
      <c r="H346" s="2">
        <f>F346^2</f>
        <v>7.772430518671805e-05</v>
      </c>
      <c r="I346" s="2">
        <f>G346^2</f>
        <v>2.9000311087735843e-05</v>
      </c>
      <c r="J346" s="2">
        <f>LN(1+F346+E346)</f>
        <v>0.00881429209814793</v>
      </c>
      <c r="K346" s="2">
        <f>LN(1+G346+E346)</f>
        <v>0.005407659360405814</v>
      </c>
      <c r="L346" s="2">
        <f>LN(1+E346)</f>
        <v>3.711276227094485e-05</v>
      </c>
      <c r="M346" s="2">
        <f>LN(1+C346+E346)</f>
        <v>0.006462023279128262</v>
      </c>
      <c r="N346" s="2">
        <f>LN(1+D346+E346)</f>
        <v>0.006117483280982385</v>
      </c>
      <c r="O346" s="2">
        <f>LN(1+C346+E346+Inputs!$B$7/Inputs!$B$9)</f>
        <v>0.006471879964784071</v>
      </c>
      <c r="P346" s="2">
        <f>LN(1+D346+E346+Inputs!$B$8/Inputs!$B$9)</f>
        <v>0.006117483280982385</v>
      </c>
      <c r="Q346" s="2">
        <f>LN(1+E346+Inputs!$B$6/Inputs!$B$9)</f>
        <v>5.69530989408333e-05</v>
      </c>
    </row>
    <row r="347" spans="1:17">
      <c r="A347" s="3">
        <v>42872</v>
      </c>
      <c r="B347" t="s">
        <v>57</v>
      </c>
      <c r="C347" s="2">
        <v>0.01040997031432674</v>
      </c>
      <c r="D347" s="2">
        <v>0.009560981923216976</v>
      </c>
      <c r="E347" s="2">
        <v>3.719249984190224E-05</v>
      </c>
      <c r="F347" s="2">
        <f>Inputs!$E$2*C347+Inputs!$F$2*D347</f>
        <v>0.014064565405391801</v>
      </c>
      <c r="G347" s="2">
        <f>Inputs!$E$3*C347+Inputs!$F$3*D347</f>
        <v>0.008350187213562302</v>
      </c>
      <c r="H347" s="2">
        <f>F347^2</f>
        <v>0.00019781200004254383</v>
      </c>
      <c r="I347" s="2">
        <f>G347^2</f>
        <v>6.972562650153935e-05</v>
      </c>
      <c r="J347" s="2">
        <f>LN(1+F347+E347)</f>
        <v>0.014003253097710831</v>
      </c>
      <c r="K347" s="2">
        <f>LN(1+G347+E347)</f>
        <v>0.008352401094054412</v>
      </c>
      <c r="L347" s="2">
        <f>LN(1+E347)</f>
        <v>3.719180821803583e-05</v>
      </c>
      <c r="M347" s="2">
        <f>LN(1+C347+E347)</f>
        <v>0.010392968334315626</v>
      </c>
      <c r="N347" s="2">
        <f>LN(1+D347+E347)</f>
        <v>0.00955240458512897</v>
      </c>
      <c r="O347" s="2">
        <f>LN(1+C347+E347+Inputs!$B$7/Inputs!$B$9)</f>
        <v>0.010402786350126215</v>
      </c>
      <c r="P347" s="2">
        <f>LN(1+D347+E347+Inputs!$B$8/Inputs!$B$9)</f>
        <v>0.00955240458512897</v>
      </c>
      <c r="Q347" s="2">
        <f>LN(1+E347+Inputs!$B$6/Inputs!$B$9)</f>
        <v>5.703214331964169e-05</v>
      </c>
    </row>
    <row r="348" spans="1:17">
      <c r="A348" s="3">
        <v>42873</v>
      </c>
      <c r="B348" t="s">
        <v>57</v>
      </c>
      <c r="C348" s="2">
        <v>-0.006536636764955511</v>
      </c>
      <c r="D348" s="2">
        <v>-0.006345178280579285</v>
      </c>
      <c r="E348" s="2">
        <v>3.7271548725732E-05</v>
      </c>
      <c r="F348" s="2">
        <f>Inputs!$E$2*C348+Inputs!$F$2*D348</f>
        <v>-0.0090364163803122</v>
      </c>
      <c r="G348" s="2">
        <f>Inputs!$E$3*C348+Inputs!$F$3*D348</f>
        <v>-0.005653222907208</v>
      </c>
      <c r="H348" s="2">
        <f>F348^2</f>
        <v>8.165682099837465e-05</v>
      </c>
      <c r="I348" s="2">
        <f>G348^2</f>
        <v>3.195892923858127e-05</v>
      </c>
      <c r="J348" s="2">
        <f>LN(1+F348+E348)</f>
        <v>-0.009039881717694093</v>
      </c>
      <c r="K348" s="2">
        <f>LN(1+G348+E348)</f>
        <v>-0.005631780103438166</v>
      </c>
      <c r="L348" s="2">
        <f>LN(1+E348)</f>
        <v>3.7270854159100574e-05</v>
      </c>
      <c r="M348" s="2">
        <f>LN(1+C348+E348)</f>
        <v>-0.0065205780536100036</v>
      </c>
      <c r="N348" s="2">
        <f>LN(1+D348+E348)</f>
        <v>-0.0063278856365468015</v>
      </c>
      <c r="O348" s="2">
        <f>LN(1+C348+E348+Inputs!$B$7/Inputs!$B$9)</f>
        <v>-0.006510592568908491</v>
      </c>
      <c r="P348" s="2">
        <f>LN(1+D348+E348+Inputs!$B$8/Inputs!$B$9)</f>
        <v>-0.0063278856365468015</v>
      </c>
      <c r="Q348" s="2">
        <f>LN(1+E348+Inputs!$B$6/Inputs!$B$9)</f>
        <v>5.7111187692424105e-05</v>
      </c>
    </row>
    <row r="349" spans="1:17">
      <c r="A349" s="3">
        <v>42874</v>
      </c>
      <c r="B349" t="s">
        <v>57</v>
      </c>
      <c r="C349" s="2">
        <v>-0.02577596627333421</v>
      </c>
      <c r="D349" s="2">
        <v>0.004290146601404424</v>
      </c>
      <c r="E349" s="2">
        <v>3.735059760956176E-05</v>
      </c>
      <c r="F349" s="2">
        <f>Inputs!$E$2*C349+Inputs!$F$2*D349</f>
        <v>-0.0180466850578248</v>
      </c>
      <c r="G349" s="2">
        <f>Inputs!$E$3*C349+Inputs!$F$3*D349</f>
        <v>0.012880965803684998</v>
      </c>
      <c r="H349" s="2">
        <f>F349^2</f>
        <v>0.0003256828415763169</v>
      </c>
      <c r="I349" s="2">
        <f>G349^2</f>
        <v>0.0001659192800357023</v>
      </c>
      <c r="J349" s="2">
        <f>LN(1+F349+E349)</f>
        <v>-0.01817347623314949</v>
      </c>
      <c r="K349" s="2">
        <f>LN(1+G349+E349)</f>
        <v>0.012835586676048333</v>
      </c>
      <c r="L349" s="2">
        <f>LN(1+E349)</f>
        <v>3.734990009369503e-05</v>
      </c>
      <c r="M349" s="2">
        <f>LN(1+C349+E349)</f>
        <v>-0.026075649612933672</v>
      </c>
      <c r="N349" s="2">
        <f>LN(1+D349+E349)</f>
        <v>0.004318160509650022</v>
      </c>
      <c r="O349" s="2">
        <f>LN(1+C349+E349+Inputs!$B$7/Inputs!$B$9)</f>
        <v>-0.026065466940633313</v>
      </c>
      <c r="P349" s="2">
        <f>LN(1+D349+E349+Inputs!$B$8/Inputs!$B$9)</f>
        <v>0.004318160509650022</v>
      </c>
      <c r="Q349" s="2">
        <f>LN(1+E349+Inputs!$B$6/Inputs!$B$9)</f>
        <v>5.719023205873647e-05</v>
      </c>
    </row>
    <row r="350" spans="1:17">
      <c r="A350" s="3">
        <v>42877</v>
      </c>
      <c r="B350" t="s">
        <v>57</v>
      </c>
      <c r="C350" s="2">
        <v>0.003710224773146033</v>
      </c>
      <c r="D350" s="2">
        <v>0.002959228420572662</v>
      </c>
      <c r="E350" s="2">
        <v>3.742964649339152E-05</v>
      </c>
      <c r="F350" s="2">
        <f>Inputs!$E$2*C350+Inputs!$F$2*D350</f>
        <v>0.0047437168708606</v>
      </c>
      <c r="G350" s="2">
        <f>Inputs!$E$3*C350+Inputs!$F$3*D350</f>
        <v>0.0024380066727437994</v>
      </c>
      <c r="H350" s="2">
        <f>F350^2</f>
        <v>2.2502849750887482e-05</v>
      </c>
      <c r="I350" s="2">
        <f>G350^2</f>
        <v>5.943876536343292e-06</v>
      </c>
      <c r="J350" s="2">
        <f>LN(1+F350+E350)</f>
        <v>0.004769753137523098</v>
      </c>
      <c r="K350" s="2">
        <f>LN(1+G350+E350)</f>
        <v>0.002472377473696387</v>
      </c>
      <c r="L350" s="2">
        <f>LN(1+E350)</f>
        <v>3.742894602115308e-05</v>
      </c>
      <c r="M350" s="2">
        <f>LN(1+C350+E350)</f>
        <v>0.0037406494588077444</v>
      </c>
      <c r="N350" s="2">
        <f>LN(1+D350+E350)</f>
        <v>0.0029921770371248812</v>
      </c>
      <c r="O350" s="2">
        <f>LN(1+C350+E350+Inputs!$B$7/Inputs!$B$9)</f>
        <v>0.0037505330045889402</v>
      </c>
      <c r="P350" s="2">
        <f>LN(1+D350+E350+Inputs!$B$8/Inputs!$B$9)</f>
        <v>0.0029921770371248812</v>
      </c>
      <c r="Q350" s="2">
        <f>LN(1+E350+Inputs!$B$6/Inputs!$B$9)</f>
        <v>5.72692764179127e-05</v>
      </c>
    </row>
    <row r="351" spans="1:17">
      <c r="A351" s="3">
        <v>42878</v>
      </c>
      <c r="B351" t="s">
        <v>57</v>
      </c>
      <c r="C351" s="2">
        <v>0.01383217813467923</v>
      </c>
      <c r="D351" s="2">
        <v>0.007884621493127375</v>
      </c>
      <c r="E351" s="2">
        <v>3.750869537722128E-05</v>
      </c>
      <c r="F351" s="2">
        <f>Inputs!$E$2*C351+Inputs!$F$2*D351</f>
        <v>0.0157965154036194</v>
      </c>
      <c r="G351" s="2">
        <f>Inputs!$E$3*C351+Inputs!$F$3*D351</f>
        <v>0.0053118923513487005</v>
      </c>
      <c r="H351" s="2">
        <f>F351^2</f>
        <v>0.00024952989889678493</v>
      </c>
      <c r="I351" s="2">
        <f>G351^2</f>
        <v>2.8216200352316825e-05</v>
      </c>
      <c r="J351" s="2">
        <f>LN(1+F351+E351)</f>
        <v>0.01570997370396077</v>
      </c>
      <c r="K351" s="2">
        <f>LN(1+G351+E351)</f>
        <v>0.0053351438234150545</v>
      </c>
      <c r="L351" s="2">
        <f>LN(1+E351)</f>
        <v>3.750799194347305e-05</v>
      </c>
      <c r="M351" s="2">
        <f>LN(1+C351+E351)</f>
        <v>0.013774382936059374</v>
      </c>
      <c r="N351" s="2">
        <f>LN(1+D351+E351)</f>
        <v>0.007890914867984024</v>
      </c>
      <c r="O351" s="2">
        <f>LN(1+C351+E351+Inputs!$B$7/Inputs!$B$9)</f>
        <v>0.0137841678093163</v>
      </c>
      <c r="P351" s="2">
        <f>LN(1+D351+E351+Inputs!$B$8/Inputs!$B$9)</f>
        <v>0.007890914867984024</v>
      </c>
      <c r="Q351" s="2">
        <f>LN(1+E351+Inputs!$B$6/Inputs!$B$9)</f>
        <v>5.7348320771951075e-05</v>
      </c>
    </row>
    <row r="352" spans="1:17">
      <c r="A352" s="3">
        <v>42879</v>
      </c>
      <c r="B352" t="s">
        <v>57</v>
      </c>
      <c r="C352" s="2">
        <v>0.01261206207259434</v>
      </c>
      <c r="D352" s="2">
        <v>-0.001261882651801584</v>
      </c>
      <c r="E352" s="2">
        <v>3.758774426105103E-05</v>
      </c>
      <c r="F352" s="2">
        <f>Inputs!$E$2*C352+Inputs!$F$2*D352</f>
        <v>0.009332520066994001</v>
      </c>
      <c r="G352" s="2">
        <f>Inputs!$E$3*C352+Inputs!$F$3*D352</f>
        <v>-0.0052978778039406</v>
      </c>
      <c r="H352" s="2">
        <f>F352^2</f>
        <v>8.709593080084571e-05</v>
      </c>
      <c r="I352" s="2">
        <f>G352^2</f>
        <v>2.8067509225486476e-05</v>
      </c>
      <c r="J352" s="2">
        <f>LN(1+F352+E352)</f>
        <v>0.009326480666679467</v>
      </c>
      <c r="K352" s="2">
        <f>LN(1+G352+E352)</f>
        <v>-0.005274174096211974</v>
      </c>
      <c r="L352" s="2">
        <f>LN(1+E352)</f>
        <v>3.758703785954477e-05</v>
      </c>
      <c r="M352" s="2">
        <f>LN(1+C352+E352)</f>
        <v>0.012570311365127075</v>
      </c>
      <c r="N352" s="2">
        <f>LN(1+D352+E352)</f>
        <v>-0.0012250449688113348</v>
      </c>
      <c r="O352" s="2">
        <f>LN(1+C352+E352+Inputs!$B$7/Inputs!$B$9)</f>
        <v>0.012580108027109812</v>
      </c>
      <c r="P352" s="2">
        <f>LN(1+D352+E352+Inputs!$B$8/Inputs!$B$9)</f>
        <v>-0.0012250449688113348</v>
      </c>
      <c r="Q352" s="2">
        <f>LN(1+E352+Inputs!$B$6/Inputs!$B$9)</f>
        <v>5.7427365119741446e-05</v>
      </c>
    </row>
    <row r="353" spans="1:17">
      <c r="A353" s="3">
        <v>42880</v>
      </c>
      <c r="B353" t="s">
        <v>57</v>
      </c>
      <c r="C353" s="2">
        <v>-0.005702353206020115</v>
      </c>
      <c r="D353" s="2">
        <v>-0.001084960613011986</v>
      </c>
      <c r="E353" s="2">
        <v>3.76667931448808E-05</v>
      </c>
      <c r="F353" s="2">
        <f>Inputs!$E$2*C353+Inputs!$F$2*D353</f>
        <v>-0.0052128589326232</v>
      </c>
      <c r="G353" s="2">
        <f>Inputs!$E$3*C353+Inputs!$F$3*D353</f>
        <v>0.00040875322619160015</v>
      </c>
      <c r="H353" s="2">
        <f>F353^2</f>
        <v>2.7173898251429488e-05</v>
      </c>
      <c r="I353" s="2">
        <f>G353^2</f>
        <v>1.6707919992204144e-07</v>
      </c>
      <c r="J353" s="2">
        <f>LN(1+F353+E353)</f>
        <v>-0.005188629828115204</v>
      </c>
      <c r="K353" s="2">
        <f>LN(1+G353+E353)</f>
        <v>0.00044632040356563886</v>
      </c>
      <c r="L353" s="2">
        <f>LN(1+E353)</f>
        <v>3.7666083769146196e-05</v>
      </c>
      <c r="M353" s="2">
        <f>LN(1+C353+E353)</f>
        <v>-0.005680791598300969</v>
      </c>
      <c r="N353" s="2">
        <f>LN(1+D353+E353)</f>
        <v>-0.0010478426152397055</v>
      </c>
      <c r="O353" s="2">
        <f>LN(1+C353+E353+Inputs!$B$7/Inputs!$B$9)</f>
        <v>-0.005670814495712341</v>
      </c>
      <c r="P353" s="2">
        <f>LN(1+D353+E353+Inputs!$B$8/Inputs!$B$9)</f>
        <v>-0.0010478426152397055</v>
      </c>
      <c r="Q353" s="2">
        <f>LN(1+E353+Inputs!$B$6/Inputs!$B$9)</f>
        <v>5.750640946106177e-05</v>
      </c>
    </row>
    <row r="354" spans="1:17">
      <c r="A354" s="3">
        <v>42881</v>
      </c>
      <c r="B354" t="s">
        <v>57</v>
      </c>
      <c r="C354" s="2">
        <v>-0.0008280827585638145</v>
      </c>
      <c r="D354" s="2">
        <v>-0.003502314532595681</v>
      </c>
      <c r="E354" s="2">
        <v>3.774584202871056E-05</v>
      </c>
      <c r="F354" s="2">
        <f>Inputs!$E$2*C354+Inputs!$F$2*D354</f>
        <v>-0.0027638549264088</v>
      </c>
      <c r="G354" s="2">
        <f>Inputs!$E$3*C354+Inputs!$F$3*D354</f>
        <v>-0.003954352611546</v>
      </c>
      <c r="H354" s="2">
        <f>F354^2</f>
        <v>7.638894054234192e-06</v>
      </c>
      <c r="I354" s="2">
        <f>G354^2</f>
        <v>1.563690457644067e-05</v>
      </c>
      <c r="J354" s="2">
        <f>LN(1+F354+E354)</f>
        <v>-0.0027298316867691566</v>
      </c>
      <c r="K354" s="2">
        <f>LN(1+G354+E354)</f>
        <v>-0.003924296759488919</v>
      </c>
      <c r="L354" s="2">
        <f>LN(1+E354)</f>
        <v>3.77451296727214e-05</v>
      </c>
      <c r="M354" s="2">
        <f>LN(1+C354+E354)</f>
        <v>-0.0007906493974101875</v>
      </c>
      <c r="N354" s="2">
        <f>LN(1+D354+E354)</f>
        <v>-0.003470584206804486</v>
      </c>
      <c r="O354" s="2">
        <f>LN(1+C354+E354+Inputs!$B$7/Inputs!$B$9)</f>
        <v>-0.0007807209649309031</v>
      </c>
      <c r="P354" s="2">
        <f>LN(1+D354+E354+Inputs!$B$8/Inputs!$B$9)</f>
        <v>-0.003470584206804486</v>
      </c>
      <c r="Q354" s="2">
        <f>LN(1+E354+Inputs!$B$6/Inputs!$B$9)</f>
        <v>5.758545379635612e-05</v>
      </c>
    </row>
    <row r="355" spans="1:17">
      <c r="A355" s="3">
        <v>42885</v>
      </c>
      <c r="B355" t="s">
        <v>57</v>
      </c>
      <c r="C355" s="2">
        <v>0.003056808738024081</v>
      </c>
      <c r="D355" s="2">
        <v>0.001144850000304771</v>
      </c>
      <c r="E355" s="2">
        <v>3.782489091254032E-05</v>
      </c>
      <c r="F355" s="2">
        <f>Inputs!$E$2*C355+Inputs!$F$2*D355</f>
        <v>0.0031323569906022003</v>
      </c>
      <c r="G355" s="2">
        <f>Inputs!$E$3*C355+Inputs!$F$3*D355</f>
        <v>0.0004567773789588001</v>
      </c>
      <c r="H355" s="2">
        <f>F355^2</f>
        <v>9.811660316574473e-06</v>
      </c>
      <c r="I355" s="2">
        <f>G355^2</f>
        <v>2.086455739284713e-07</v>
      </c>
      <c r="J355" s="2">
        <f>LN(1+F355+E355)</f>
        <v>0.0031651674499125937</v>
      </c>
      <c r="K355" s="2">
        <f>LN(1+G355+E355)</f>
        <v>0.0004944799944858598</v>
      </c>
      <c r="L355" s="2">
        <f>LN(1+E355)</f>
        <v>3.782417556982631e-05</v>
      </c>
      <c r="M355" s="2">
        <f>LN(1+C355+E355)</f>
        <v>0.003089855106268131</v>
      </c>
      <c r="N355" s="2">
        <f>LN(1+D355+E355)</f>
        <v>0.0011819760821905388</v>
      </c>
      <c r="O355" s="2">
        <f>LN(1+C355+E355+Inputs!$B$7/Inputs!$B$9)</f>
        <v>0.003099745086266746</v>
      </c>
      <c r="P355" s="2">
        <f>LN(1+D355+E355+Inputs!$B$8/Inputs!$B$9)</f>
        <v>0.0011819760821905388</v>
      </c>
      <c r="Q355" s="2">
        <f>LN(1+E355+Inputs!$B$6/Inputs!$B$9)</f>
        <v>5.766449812518044e-05</v>
      </c>
    </row>
    <row r="356" spans="1:17">
      <c r="A356" s="3">
        <v>42886</v>
      </c>
      <c r="B356" t="s">
        <v>57</v>
      </c>
      <c r="C356" s="2">
        <v>-0.01754482721209608</v>
      </c>
      <c r="D356" s="2">
        <v>-0.001344610443051787</v>
      </c>
      <c r="E356" s="2">
        <v>3.790393979637008E-05</v>
      </c>
      <c r="F356" s="2">
        <f>Inputs!$E$2*C356+Inputs!$F$2*D356</f>
        <v>-0.014842628035508</v>
      </c>
      <c r="G356" s="2">
        <f>Inputs!$E$3*C356+Inputs!$F$3*D356</f>
        <v>0.0036499156319663995</v>
      </c>
      <c r="H356" s="2">
        <f>F356^2</f>
        <v>0.00022030360700044804</v>
      </c>
      <c r="I356" s="2">
        <f>G356^2</f>
        <v>1.3321884120472681e-05</v>
      </c>
      <c r="J356" s="2">
        <f>LN(1+F356+E356)</f>
        <v>-0.014915407809889597</v>
      </c>
      <c r="K356" s="2">
        <f>LN(1+G356+E356)</f>
        <v>0.003681036237193038</v>
      </c>
      <c r="L356" s="2">
        <f>LN(1+E356)</f>
        <v>3.790322145979483e-05</v>
      </c>
      <c r="M356" s="2">
        <f>LN(1+C356+E356)</f>
        <v>-0.017661981851130843</v>
      </c>
      <c r="N356" s="2">
        <f>LN(1+D356+E356)</f>
        <v>-0.0013075609886543957</v>
      </c>
      <c r="O356" s="2">
        <f>LN(1+C356+E356+Inputs!$B$7/Inputs!$B$9)</f>
        <v>-0.017651884492615413</v>
      </c>
      <c r="P356" s="2">
        <f>LN(1+D356+E356+Inputs!$B$8/Inputs!$B$9)</f>
        <v>-0.0013075609886543957</v>
      </c>
      <c r="Q356" s="2">
        <f>LN(1+E356+Inputs!$B$6/Inputs!$B$9)</f>
        <v>5.774354244686862e-05</v>
      </c>
    </row>
    <row r="357" spans="1:17">
      <c r="A357" s="3">
        <v>42887</v>
      </c>
      <c r="B357" t="s">
        <v>58</v>
      </c>
      <c r="C357" s="2">
        <v>-0.006959829836370837</v>
      </c>
      <c r="D357" s="2">
        <v>-0.0006570194920385771</v>
      </c>
      <c r="E357" s="2">
        <v>3.798298868019984E-05</v>
      </c>
      <c r="F357" s="2">
        <f>Inputs!$E$2*C357+Inputs!$F$2*D357</f>
        <v>-0.005962075564320201</v>
      </c>
      <c r="G357" s="2">
        <f>Inputs!$E$3*C357+Inputs!$F$3*D357</f>
        <v>0.0012995255604644998</v>
      </c>
      <c r="H357" s="2">
        <f>F357^2</f>
        <v>3.5546345034664036e-05</v>
      </c>
      <c r="I357" s="2">
        <f>G357^2</f>
        <v>1.6887666823005725e-06</v>
      </c>
      <c r="J357" s="2">
        <f>LN(1+F357+E357)</f>
        <v>-0.005941709623200174</v>
      </c>
      <c r="K357" s="2">
        <f>LN(1+G357+E357)</f>
        <v>0.001336614881355096</v>
      </c>
      <c r="L357" s="2">
        <f>LN(1+E357)</f>
        <v>3.7982267344625275e-05</v>
      </c>
      <c r="M357" s="2">
        <f>LN(1+C357+E357)</f>
        <v>-0.006945913953093049</v>
      </c>
      <c r="N357" s="2">
        <f>LN(1+D357+E357)</f>
        <v>-0.0006192281855648877</v>
      </c>
      <c r="O357" s="2">
        <f>LN(1+C357+E357+Inputs!$B$7/Inputs!$B$9)</f>
        <v>-0.006935924220324269</v>
      </c>
      <c r="P357" s="2">
        <f>LN(1+D357+E357+Inputs!$B$8/Inputs!$B$9)</f>
        <v>-0.0006192281855648877</v>
      </c>
      <c r="Q357" s="2">
        <f>LN(1+E357+Inputs!$B$6/Inputs!$B$9)</f>
        <v>5.7822586763418957e-05</v>
      </c>
    </row>
    <row r="358" spans="1:17">
      <c r="A358" s="3">
        <v>42888</v>
      </c>
      <c r="B358" t="s">
        <v>58</v>
      </c>
      <c r="C358" s="2">
        <v>-0.006479974229036749</v>
      </c>
      <c r="D358" s="2">
        <v>0.001772016250508936</v>
      </c>
      <c r="E358" s="2">
        <v>3.80620375640296E-05</v>
      </c>
      <c r="F358" s="2">
        <f>Inputs!$E$2*C358+Inputs!$F$2*D358</f>
        <v>-0.0041207696329242</v>
      </c>
      <c r="G358" s="2">
        <f>Inputs!$E$3*C358+Inputs!$F$3*D358</f>
        <v>0.0040704117693219</v>
      </c>
      <c r="H358" s="2">
        <f>F358^2</f>
        <v>1.6980742367630246e-05</v>
      </c>
      <c r="I358" s="2">
        <f>G358^2</f>
        <v>1.656825197183424e-05</v>
      </c>
      <c r="J358" s="2">
        <f>LN(1+F358+E358)</f>
        <v>-0.004091064599907839</v>
      </c>
      <c r="K358" s="2">
        <f>LN(1+G358+E358)</f>
        <v>0.004100057073784437</v>
      </c>
      <c r="L358" s="2">
        <f>LN(1+E358)</f>
        <v>3.806131322298543e-05</v>
      </c>
      <c r="M358" s="2">
        <f>LN(1+C358+E358)</f>
        <v>-0.006462750849894593</v>
      </c>
      <c r="N358" s="2">
        <f>LN(1+D358+E358)</f>
        <v>0.0018084420705255582</v>
      </c>
      <c r="O358" s="2">
        <f>LN(1+C358+E358+Inputs!$B$7/Inputs!$B$9)</f>
        <v>-0.00645276594260616</v>
      </c>
      <c r="P358" s="2">
        <f>LN(1+D358+E358+Inputs!$B$8/Inputs!$B$9)</f>
        <v>0.0018084420705255582</v>
      </c>
      <c r="Q358" s="2">
        <f>LN(1+E358+Inputs!$B$6/Inputs!$B$9)</f>
        <v>5.790163107349926e-05</v>
      </c>
    </row>
    <row r="359" spans="1:17">
      <c r="A359" s="3">
        <v>42891</v>
      </c>
      <c r="B359" t="s">
        <v>58</v>
      </c>
      <c r="C359" s="2">
        <v>0.01633456388447458</v>
      </c>
      <c r="D359" s="2">
        <v>-0.00170215815368616</v>
      </c>
      <c r="E359" s="2">
        <v>3.814108644785936E-05</v>
      </c>
      <c r="F359" s="2">
        <f>Inputs!$E$2*C359+Inputs!$F$2*D359</f>
        <v>0.0120463562153684</v>
      </c>
      <c r="G359" s="2">
        <f>Inputs!$E$3*C359+Inputs!$F$3*D359</f>
        <v>-0.0069429589497657</v>
      </c>
      <c r="H359" s="2">
        <f>F359^2</f>
        <v>0.00014511469806754488</v>
      </c>
      <c r="I359" s="2">
        <f>G359^2</f>
        <v>4.8204678978131634e-05</v>
      </c>
      <c r="J359" s="2">
        <f>LN(1+F359+E359)</f>
        <v>0.012012062737256518</v>
      </c>
      <c r="K359" s="2">
        <f>LN(1+G359+E359)</f>
        <v>-0.006928766422138789</v>
      </c>
      <c r="L359" s="2">
        <f>LN(1+E359)</f>
        <v>3.814035909531937e-05</v>
      </c>
      <c r="M359" s="2">
        <f>LN(1+C359+E359)</f>
        <v>0.016240117489863443</v>
      </c>
      <c r="N359" s="2">
        <f>LN(1+D359+E359)</f>
        <v>-0.0016654030814189985</v>
      </c>
      <c r="O359" s="2">
        <f>LN(1+C359+E359+Inputs!$B$7/Inputs!$B$9)</f>
        <v>0.01624987826605871</v>
      </c>
      <c r="P359" s="2">
        <f>LN(1+D359+E359+Inputs!$B$8/Inputs!$B$9)</f>
        <v>-0.0016654030814189985</v>
      </c>
      <c r="Q359" s="2">
        <f>LN(1+E359+Inputs!$B$6/Inputs!$B$9)</f>
        <v>5.798067537755359e-05</v>
      </c>
    </row>
    <row r="360" spans="1:17">
      <c r="A360" s="3">
        <v>42892</v>
      </c>
      <c r="B360" t="s">
        <v>58</v>
      </c>
      <c r="C360" s="2">
        <v>-0.006864260453528878</v>
      </c>
      <c r="D360" s="2">
        <v>-0.004219190676992344</v>
      </c>
      <c r="E360" s="2">
        <v>3.822013533168912E-05</v>
      </c>
      <c r="F360" s="2">
        <f>Inputs!$E$2*C360+Inputs!$F$2*D360</f>
        <v>-0.0080229227690184</v>
      </c>
      <c r="G360" s="2">
        <f>Inputs!$E$3*C360+Inputs!$F$3*D360</f>
        <v>-0.0030037506763316998</v>
      </c>
      <c r="H360" s="2">
        <f>F360^2</f>
        <v>6.436728975763386e-05</v>
      </c>
      <c r="I360" s="2">
        <f>G360^2</f>
        <v>9.022518125563144e-06</v>
      </c>
      <c r="J360" s="2">
        <f>LN(1+F360+E360)</f>
        <v>-0.008016751083991606</v>
      </c>
      <c r="K360" s="2">
        <f>LN(1+G360+E360)</f>
        <v>-0.002969936439401471</v>
      </c>
      <c r="L360" s="2">
        <f>LN(1+E360)</f>
        <v>3.821940496118303e-05</v>
      </c>
      <c r="M360" s="2">
        <f>LN(1+C360+E360)</f>
        <v>-0.0068494442965481555</v>
      </c>
      <c r="N360" s="2">
        <f>LN(1+D360+E360)</f>
        <v>-0.004189735237482585</v>
      </c>
      <c r="O360" s="2">
        <f>LN(1+C360+E360+Inputs!$B$7/Inputs!$B$9)</f>
        <v>-0.00683945552743417</v>
      </c>
      <c r="P360" s="2">
        <f>LN(1+D360+E360+Inputs!$B$8/Inputs!$B$9)</f>
        <v>-0.004189735237482585</v>
      </c>
      <c r="Q360" s="2">
        <f>LN(1+E360+Inputs!$B$6/Inputs!$B$9)</f>
        <v>5.8059719675137885e-05</v>
      </c>
    </row>
    <row r="361" spans="1:17">
      <c r="A361" s="3">
        <v>42893</v>
      </c>
      <c r="B361" t="s">
        <v>58</v>
      </c>
      <c r="C361" s="2">
        <v>0.01677924798853945</v>
      </c>
      <c r="D361" s="2">
        <v>-0.001812751517889839</v>
      </c>
      <c r="E361" s="2">
        <v>3.829918421551888E-05</v>
      </c>
      <c r="F361" s="2">
        <f>Inputs!$E$2*C361+Inputs!$F$2*D361</f>
        <v>0.012335747480097203</v>
      </c>
      <c r="G361" s="2">
        <f>Inputs!$E$3*C361+Inputs!$F$3*D361</f>
        <v>-0.0072090762180297</v>
      </c>
      <c r="H361" s="2">
        <f>F361^2</f>
        <v>0.00015217066589272448</v>
      </c>
      <c r="I361" s="2">
        <f>G361^2</f>
        <v>5.1970779917361405e-05</v>
      </c>
      <c r="J361" s="2">
        <f>LN(1+F361+E361)</f>
        <v>0.012298113904206001</v>
      </c>
      <c r="K361" s="2">
        <f>LN(1+G361+E361)</f>
        <v>-0.007196610627489702</v>
      </c>
      <c r="L361" s="2">
        <f>LN(1+E361)</f>
        <v>3.829845082102047e-05</v>
      </c>
      <c r="M361" s="2">
        <f>LN(1+C361+E361)</f>
        <v>0.016677697995141787</v>
      </c>
      <c r="N361" s="2">
        <f>LN(1+D361+E361)</f>
        <v>-0.0017760285390930487</v>
      </c>
      <c r="O361" s="2">
        <f>LN(1+C361+E361+Inputs!$B$7/Inputs!$B$9)</f>
        <v>0.01668745450116685</v>
      </c>
      <c r="P361" s="2">
        <f>LN(1+D361+E361+Inputs!$B$8/Inputs!$B$9)</f>
        <v>-0.0017760285390930487</v>
      </c>
      <c r="Q361" s="2">
        <f>LN(1+E361+Inputs!$B$6/Inputs!$B$9)</f>
        <v>5.813876396669621e-05</v>
      </c>
    </row>
    <row r="362" spans="1:17">
      <c r="A362" s="3">
        <v>42894</v>
      </c>
      <c r="B362" t="s">
        <v>58</v>
      </c>
      <c r="C362" s="2">
        <v>0.0003393003120893249</v>
      </c>
      <c r="D362" s="2">
        <v>-0.002404651554658907</v>
      </c>
      <c r="E362" s="2">
        <v>3.837823309934864E-05</v>
      </c>
      <c r="F362" s="2">
        <f>Inputs!$E$2*C362+Inputs!$F$2*D362</f>
        <v>-0.0011713506831241998</v>
      </c>
      <c r="G362" s="2">
        <f>Inputs!$E$3*C362+Inputs!$F$3*D362</f>
        <v>-0.0029873719592175</v>
      </c>
      <c r="H362" s="2">
        <f>F362^2</f>
        <v>1.3720624228555296e-06</v>
      </c>
      <c r="I362" s="2">
        <f>G362^2</f>
        <v>8.924391222719005e-06</v>
      </c>
      <c r="J362" s="2">
        <f>LN(1+F362+E362)</f>
        <v>-0.0011336147484949306</v>
      </c>
      <c r="K362" s="2">
        <f>LN(1+G362+E362)</f>
        <v>-0.0029533505757732914</v>
      </c>
      <c r="L362" s="2">
        <f>LN(1+E362)</f>
        <v>3.837749667349949e-05</v>
      </c>
      <c r="M362" s="2">
        <f>LN(1+C362+E362)</f>
        <v>0.0003776072425987688</v>
      </c>
      <c r="N362" s="2">
        <f>LN(1+D362+E362)</f>
        <v>-0.0023690773705803653</v>
      </c>
      <c r="O362" s="2">
        <f>LN(1+C362+E362+Inputs!$B$7/Inputs!$B$9)</f>
        <v>0.00038752408295100483</v>
      </c>
      <c r="P362" s="2">
        <f>LN(1+D362+E362+Inputs!$B$8/Inputs!$B$9)</f>
        <v>-0.0023690773705803653</v>
      </c>
      <c r="Q362" s="2">
        <f>LN(1+E362+Inputs!$B$6/Inputs!$B$9)</f>
        <v>5.821780825089638e-05</v>
      </c>
    </row>
    <row r="363" spans="1:17">
      <c r="A363" s="3">
        <v>42895</v>
      </c>
      <c r="B363" t="s">
        <v>58</v>
      </c>
      <c r="C363" s="2">
        <v>-0.01776720484206687</v>
      </c>
      <c r="D363" s="2">
        <v>0.002019095674623096</v>
      </c>
      <c r="E363" s="2">
        <v>3.84572819831784E-05</v>
      </c>
      <c r="F363" s="2">
        <f>Inputs!$E$2*C363+Inputs!$F$2*D363</f>
        <v>-0.013002306468879801</v>
      </c>
      <c r="G363" s="2">
        <f>Inputs!$E$3*C363+Inputs!$F$3*D363</f>
        <v>0.0077530762621677</v>
      </c>
      <c r="H363" s="2">
        <f>F363^2</f>
        <v>0.00016905997351067352</v>
      </c>
      <c r="I363" s="2">
        <f>G363^2</f>
        <v>6.011019152698828e-05</v>
      </c>
      <c r="J363" s="2">
        <f>LN(1+F363+E363)</f>
        <v>-0.013048613255775875</v>
      </c>
      <c r="K363" s="2">
        <f>LN(1+G363+E363)</f>
        <v>0.007761336300466316</v>
      </c>
      <c r="L363" s="2">
        <f>LN(1+E363)</f>
        <v>3.84565425206184e-05</v>
      </c>
      <c r="M363" s="2">
        <f>LN(1+C363+E363)</f>
        <v>-0.017887784290062866</v>
      </c>
      <c r="N363" s="2">
        <f>LN(1+D363+E363)</f>
        <v>0.0020554390936148204</v>
      </c>
      <c r="O363" s="2">
        <f>LN(1+C363+E363+Inputs!$B$7/Inputs!$B$9)</f>
        <v>-0.017877684651293333</v>
      </c>
      <c r="P363" s="2">
        <f>LN(1+D363+E363+Inputs!$B$8/Inputs!$B$9)</f>
        <v>0.0020554390936148204</v>
      </c>
      <c r="Q363" s="2">
        <f>LN(1+E363+Inputs!$B$6/Inputs!$B$9)</f>
        <v>5.8296852529736685e-05</v>
      </c>
    </row>
    <row r="364" spans="1:17">
      <c r="A364" s="3">
        <v>42898</v>
      </c>
      <c r="B364" t="s">
        <v>58</v>
      </c>
      <c r="C364" s="2">
        <v>0.02565013102281983</v>
      </c>
      <c r="D364" s="2">
        <v>0.005560588287842895</v>
      </c>
      <c r="E364" s="2">
        <v>3.853633086700816E-05</v>
      </c>
      <c r="F364" s="2">
        <f>Inputs!$E$2*C364+Inputs!$F$2*D364</f>
        <v>0.0238564577909618</v>
      </c>
      <c r="G364" s="2">
        <f>Inputs!$E$3*C364+Inputs!$F$3*D364</f>
        <v>-0.0010223333614343992</v>
      </c>
      <c r="H364" s="2">
        <f>F364^2</f>
        <v>0.000569130578331942</v>
      </c>
      <c r="I364" s="2">
        <f>G364^2</f>
        <v>1.045165501901758e-06</v>
      </c>
      <c r="J364" s="2">
        <f>LN(1+F364+E364)</f>
        <v>0.023613976556336853</v>
      </c>
      <c r="K364" s="2">
        <f>LN(1+G364+E364)</f>
        <v>-0.0009842812764919203</v>
      </c>
      <c r="L364" s="2">
        <f>LN(1+E364)</f>
        <v>3.8535588361711107e-05</v>
      </c>
      <c r="M364" s="2">
        <f>LN(1+C364+E364)</f>
        <v>0.025364257575335874</v>
      </c>
      <c r="N364" s="2">
        <f>LN(1+D364+E364)</f>
        <v>0.0055835077870677935</v>
      </c>
      <c r="O364" s="2">
        <f>LN(1+C364+E364+Inputs!$B$7/Inputs!$B$9)</f>
        <v>0.025373929698329627</v>
      </c>
      <c r="P364" s="2">
        <f>LN(1+D364+E364+Inputs!$B$8/Inputs!$B$9)</f>
        <v>0.0055835077870677935</v>
      </c>
      <c r="Q364" s="2">
        <f>LN(1+E364+Inputs!$B$6/Inputs!$B$9)</f>
        <v>5.837589680255101e-05</v>
      </c>
    </row>
    <row r="365" spans="1:17">
      <c r="A365" s="3">
        <v>42899</v>
      </c>
      <c r="B365" t="s">
        <v>58</v>
      </c>
      <c r="C365" s="2">
        <v>-0.01257009176106094</v>
      </c>
      <c r="D365" s="2">
        <v>-0.001444950138253527</v>
      </c>
      <c r="E365" s="2">
        <v>3.861537975083792E-05</v>
      </c>
      <c r="F365" s="2">
        <f>Inputs!$E$2*C365+Inputs!$F$2*D365</f>
        <v>-0.0109230434918012</v>
      </c>
      <c r="G365" s="2">
        <f>Inputs!$E$3*C365+Inputs!$F$3*D365</f>
        <v>0.0020370873624134993</v>
      </c>
      <c r="H365" s="2">
        <f>F365^2</f>
        <v>0.00011931287912378057</v>
      </c>
      <c r="I365" s="2">
        <f>G365^2</f>
        <v>4.149724922104787e-06</v>
      </c>
      <c r="J365" s="2">
        <f>LN(1+F365+E365)</f>
        <v>-0.01094409686825667</v>
      </c>
      <c r="K365" s="2">
        <f>LN(1+G365+E365)</f>
        <v>0.0020735514476784653</v>
      </c>
      <c r="L365" s="2">
        <f>LN(1+E365)</f>
        <v>3.861463419633353e-05</v>
      </c>
      <c r="M365" s="2">
        <f>LN(1+C365+E365)</f>
        <v>-0.012610657531389359</v>
      </c>
      <c r="N365" s="2">
        <f>LN(1+D365+E365)</f>
        <v>-0.0014073245753474842</v>
      </c>
      <c r="O365" s="2">
        <f>LN(1+C365+E365+Inputs!$B$7/Inputs!$B$9)</f>
        <v>-0.012600611049046148</v>
      </c>
      <c r="P365" s="2">
        <f>LN(1+D365+E365+Inputs!$B$8/Inputs!$B$9)</f>
        <v>-0.0014073245753474842</v>
      </c>
      <c r="Q365" s="2">
        <f>LN(1+E365+Inputs!$B$6/Inputs!$B$9)</f>
        <v>5.8454941068895316e-05</v>
      </c>
    </row>
    <row r="366" spans="1:17">
      <c r="A366" s="3">
        <v>42900</v>
      </c>
      <c r="B366" t="s">
        <v>58</v>
      </c>
      <c r="C366" s="2">
        <v>0.008318028337799753</v>
      </c>
      <c r="D366" s="2">
        <v>-0.01065170011795525</v>
      </c>
      <c r="E366" s="2">
        <v>3.869442863466768E-05</v>
      </c>
      <c r="F366" s="2">
        <f>Inputs!$E$2*C366+Inputs!$F$2*D366</f>
        <v>0.00026340259946699973</v>
      </c>
      <c r="G366" s="2">
        <f>Inputs!$E$3*C366+Inputs!$F$3*D366</f>
        <v>-0.015277448642886</v>
      </c>
      <c r="H366" s="2">
        <f>F366^2</f>
        <v>6.938092940597269e-08</v>
      </c>
      <c r="I366" s="2">
        <f>G366^2</f>
        <v>0.0002334004370360193</v>
      </c>
      <c r="J366" s="2">
        <f>LN(1+F366+E366)</f>
        <v>0.000302051405982801</v>
      </c>
      <c r="K366" s="2">
        <f>LN(1+G366+E366)</f>
        <v>-0.015356057256497408</v>
      </c>
      <c r="L366" s="2">
        <f>LN(1+E366)</f>
        <v>3.869368002492975e-05</v>
      </c>
      <c r="M366" s="2">
        <f>LN(1+C366+E366)</f>
        <v>0.008321998677670592</v>
      </c>
      <c r="N366" s="2">
        <f>LN(1+D366+E366)</f>
        <v>-0.010669725301527431</v>
      </c>
      <c r="O366" s="2">
        <f>LN(1+C366+E366+Inputs!$B$7/Inputs!$B$9)</f>
        <v>0.008331837047262747</v>
      </c>
      <c r="P366" s="2">
        <f>LN(1+D366+E366+Inputs!$B$8/Inputs!$B$9)</f>
        <v>-0.010669725301527431</v>
      </c>
      <c r="Q366" s="2">
        <f>LN(1+E366+Inputs!$B$6/Inputs!$B$9)</f>
        <v>5.853398532921366e-05</v>
      </c>
    </row>
    <row r="367" spans="1:17">
      <c r="A367" s="3">
        <v>42901</v>
      </c>
      <c r="B367" t="s">
        <v>58</v>
      </c>
      <c r="C367" s="2">
        <v>0.02199361626292724</v>
      </c>
      <c r="D367" s="2">
        <v>0.003131434300293197</v>
      </c>
      <c r="E367" s="2">
        <v>3.877347751849744E-05</v>
      </c>
      <c r="F367" s="2">
        <f>Inputs!$E$2*C367+Inputs!$F$2*D367</f>
        <v>0.0194737535905174</v>
      </c>
      <c r="G367" s="2">
        <f>Inputs!$E$3*C367+Inputs!$F$3*D367</f>
        <v>-0.0028403637185265007</v>
      </c>
      <c r="H367" s="2">
        <f>F367^2</f>
        <v>0.0003792270789041893</v>
      </c>
      <c r="I367" s="2">
        <f>G367^2</f>
        <v>8.06766605352169e-06</v>
      </c>
      <c r="J367" s="2">
        <f>LN(1+F367+E367)</f>
        <v>0.01932459841939891</v>
      </c>
      <c r="K367" s="2">
        <f>LN(1+G367+E367)</f>
        <v>-0.0028055220401915558</v>
      </c>
      <c r="L367" s="2">
        <f>LN(1+E367)</f>
        <v>3.877272584616755e-05</v>
      </c>
      <c r="M367" s="2">
        <f>LN(1+C367+E367)</f>
        <v>0.021793183784643722</v>
      </c>
      <c r="N367" s="2">
        <f>LN(1+D367+E367)</f>
        <v>0.0031651932643717256</v>
      </c>
      <c r="O367" s="2">
        <f>LN(1+C367+E367+Inputs!$B$7/Inputs!$B$9)</f>
        <v>0.021802890509080148</v>
      </c>
      <c r="P367" s="2">
        <f>LN(1+D367+E367+Inputs!$B$8/Inputs!$B$9)</f>
        <v>0.0031651932643717256</v>
      </c>
      <c r="Q367" s="2">
        <f>LN(1+E367+Inputs!$B$6/Inputs!$B$9)</f>
        <v>5.8613029582173844e-05</v>
      </c>
    </row>
    <row r="368" spans="1:17">
      <c r="A368" s="3">
        <v>42902</v>
      </c>
      <c r="B368" t="s">
        <v>58</v>
      </c>
      <c r="C368" s="2">
        <v>-0.007084000731975279</v>
      </c>
      <c r="D368" s="2">
        <v>-0.0002564896503749628</v>
      </c>
      <c r="E368" s="2">
        <v>3.88525264023272E-05</v>
      </c>
      <c r="F368" s="2">
        <f>Inputs!$E$2*C368+Inputs!$F$2*D368</f>
        <v>-0.005821094375805</v>
      </c>
      <c r="G368" s="2">
        <f>Inputs!$E$3*C368+Inputs!$F$3*D368</f>
        <v>0.0018174126391424998</v>
      </c>
      <c r="H368" s="2">
        <f>F368^2</f>
        <v>3.38851397320286e-05</v>
      </c>
      <c r="I368" s="2">
        <f>G368^2</f>
        <v>3.302988700914906e-06</v>
      </c>
      <c r="J368" s="2">
        <f>LN(1+F368+E368)</f>
        <v>-0.005799023732344281</v>
      </c>
      <c r="K368" s="2">
        <f>LN(1+G368+E368)</f>
        <v>0.001854544434455132</v>
      </c>
      <c r="L368" s="2">
        <f>LN(1+E368)</f>
        <v>3.885177166204524e-05</v>
      </c>
      <c r="M368" s="2">
        <f>LN(1+C368+E368)</f>
        <v>-0.007070082441464865</v>
      </c>
      <c r="N368" s="2">
        <f>LN(1+D368+E368)</f>
        <v>-0.0002176608103685564</v>
      </c>
      <c r="O368" s="2">
        <f>LN(1+C368+E368+Inputs!$B$7/Inputs!$B$9)</f>
        <v>-0.007060091468215251</v>
      </c>
      <c r="P368" s="2">
        <f>LN(1+D368+E368+Inputs!$B$8/Inputs!$B$9)</f>
        <v>-0.0002176608103685564</v>
      </c>
      <c r="Q368" s="2">
        <f>LN(1+E368+Inputs!$B$6/Inputs!$B$9)</f>
        <v>5.869207382977417e-05</v>
      </c>
    </row>
    <row r="369" spans="1:17">
      <c r="A369" s="3">
        <v>42905</v>
      </c>
      <c r="B369" t="s">
        <v>58</v>
      </c>
      <c r="C369" s="2">
        <v>-0.01608428145808371</v>
      </c>
      <c r="D369" s="2">
        <v>-0.004606092172454313</v>
      </c>
      <c r="E369" s="2">
        <v>3.893157528615697E-05</v>
      </c>
      <c r="F369" s="2">
        <f>Inputs!$E$2*C369+Inputs!$F$2*D369</f>
        <v>-0.0156310804699396</v>
      </c>
      <c r="G369" s="2">
        <f>Inputs!$E$3*C369+Inputs!$F$3*D369</f>
        <v>-0.0007020261695195994</v>
      </c>
      <c r="H369" s="2">
        <f>F369^2</f>
        <v>0.00024433067665772715</v>
      </c>
      <c r="I369" s="2">
        <f>G369^2</f>
        <v>4.928407426903613e-07</v>
      </c>
      <c r="J369" s="2">
        <f>LN(1+F369+E369)</f>
        <v>-0.015714984973527312</v>
      </c>
      <c r="K369" s="2">
        <f>LN(1+G369+E369)</f>
        <v>-0.0006633145386887825</v>
      </c>
      <c r="L369" s="2">
        <f>LN(1+E369)</f>
        <v>3.8930817471896736e-05</v>
      </c>
      <c r="M369" s="2">
        <f>LN(1+C369+E369)</f>
        <v>-0.01617547027120122</v>
      </c>
      <c r="N369" s="2">
        <f>LN(1+D369+E369)</f>
        <v>-0.004577621939701644</v>
      </c>
      <c r="O369" s="2">
        <f>LN(1+C369+E369+Inputs!$B$7/Inputs!$B$9)</f>
        <v>-0.016165387911299914</v>
      </c>
      <c r="P369" s="2">
        <f>LN(1+D369+E369+Inputs!$B$8/Inputs!$B$9)</f>
        <v>-0.004577621939701644</v>
      </c>
      <c r="Q369" s="2">
        <f>LN(1+E369+Inputs!$B$6/Inputs!$B$9)</f>
        <v>5.8771118071348526e-05</v>
      </c>
    </row>
    <row r="370" spans="1:17">
      <c r="A370" s="3">
        <v>42906</v>
      </c>
      <c r="B370" t="s">
        <v>58</v>
      </c>
      <c r="C370" s="2">
        <v>0.01430784146644826</v>
      </c>
      <c r="D370" s="2">
        <v>-0.001189419032809412</v>
      </c>
      <c r="E370" s="2">
        <v>3.901062416998673E-05</v>
      </c>
      <c r="F370" s="2">
        <f>Inputs!$E$2*C370+Inputs!$F$2*D370</f>
        <v>0.010732621753473</v>
      </c>
      <c r="G370" s="2">
        <f>Inputs!$E$3*C370+Inputs!$F$3*D370</f>
        <v>-0.005719655279305199</v>
      </c>
      <c r="H370" s="2">
        <f>F370^2</f>
        <v>0.00011518916970312186</v>
      </c>
      <c r="I370" s="2">
        <f>G370^2</f>
        <v>3.271445651408384e-05</v>
      </c>
      <c r="J370" s="2">
        <f>LN(1+F370+E370)</f>
        <v>0.010714031612604152</v>
      </c>
      <c r="K370" s="2">
        <f>LN(1+G370+E370)</f>
        <v>-0.00569684088278444</v>
      </c>
      <c r="L370" s="2">
        <f>LN(1+E370)</f>
        <v>3.9009863275499986e-05</v>
      </c>
      <c r="M370" s="2">
        <f>LN(1+C370+E370)</f>
        <v>0.014244909884448636</v>
      </c>
      <c r="N370" s="2">
        <f>LN(1+D370+E370)</f>
        <v>-0.001151070636329259</v>
      </c>
      <c r="O370" s="2">
        <f>LN(1+C370+E370+Inputs!$B$7/Inputs!$B$9)</f>
        <v>0.014254690154764509</v>
      </c>
      <c r="P370" s="2">
        <f>LN(1+D370+E370+Inputs!$B$8/Inputs!$B$9)</f>
        <v>-0.001151070636329259</v>
      </c>
      <c r="Q370" s="2">
        <f>LN(1+E370+Inputs!$B$6/Inputs!$B$9)</f>
        <v>5.8850162306674896e-05</v>
      </c>
    </row>
    <row r="371" spans="1:17">
      <c r="A371" s="3">
        <v>42907</v>
      </c>
      <c r="B371" t="s">
        <v>58</v>
      </c>
      <c r="C371" s="2">
        <v>0.001123959859075459</v>
      </c>
      <c r="D371" s="2">
        <v>0.009030855389640725</v>
      </c>
      <c r="E371" s="2">
        <v>3.908967305381648E-05</v>
      </c>
      <c r="F371" s="2">
        <f>Inputs!$E$2*C371+Inputs!$F$2*D371</f>
        <v>0.0063176811210446</v>
      </c>
      <c r="G371" s="2">
        <f>Inputs!$E$3*C371+Inputs!$F$3*D371</f>
        <v>0.0104998385098467</v>
      </c>
      <c r="H371" s="2">
        <f>F371^2</f>
        <v>3.991309474720335e-05</v>
      </c>
      <c r="I371" s="2">
        <f>G371^2</f>
        <v>0.00011024660873285977</v>
      </c>
      <c r="J371" s="2">
        <f>LN(1+F371+E371)</f>
        <v>0.006336651743085016</v>
      </c>
      <c r="K371" s="2">
        <f>LN(1+G371+E371)</f>
        <v>0.010483780803737007</v>
      </c>
      <c r="L371" s="2">
        <f>LN(1+E371)</f>
        <v>3.908890907263297e-05</v>
      </c>
      <c r="M371" s="2">
        <f>LN(1+C371+E371)</f>
        <v>0.001162373713977898</v>
      </c>
      <c r="N371" s="2">
        <f>LN(1+D371+E371)</f>
        <v>0.009029060141016157</v>
      </c>
      <c r="O371" s="2">
        <f>LN(1+C371+E371+Inputs!$B$7/Inputs!$B$9)</f>
        <v>0.0011722827750177526</v>
      </c>
      <c r="P371" s="2">
        <f>LN(1+D371+E371+Inputs!$B$8/Inputs!$B$9)</f>
        <v>0.009029060141016157</v>
      </c>
      <c r="Q371" s="2">
        <f>LN(1+E371+Inputs!$B$6/Inputs!$B$9)</f>
        <v>5.892920653553124e-05</v>
      </c>
    </row>
    <row r="372" spans="1:17">
      <c r="A372" s="3">
        <v>42908</v>
      </c>
      <c r="B372" t="s">
        <v>58</v>
      </c>
      <c r="C372" s="2">
        <v>-0.01568052062272383</v>
      </c>
      <c r="D372" s="2">
        <v>-0.007854381008647025</v>
      </c>
      <c r="E372" s="2">
        <v>3.916872193764624E-05</v>
      </c>
      <c r="F372" s="2">
        <f>Inputs!$E$2*C372+Inputs!$F$2*D372</f>
        <v>-0.017257045103367404</v>
      </c>
      <c r="G372" s="2">
        <f>Inputs!$E$3*C372+Inputs!$F$3*D372</f>
        <v>-0.0047211010235592</v>
      </c>
      <c r="H372" s="2">
        <f>F372^2</f>
        <v>0.0002978056056996569</v>
      </c>
      <c r="I372" s="2">
        <f>G372^2</f>
        <v>2.2288794874651723e-05</v>
      </c>
      <c r="J372" s="2">
        <f>LN(1+F372+E372)</f>
        <v>-0.017367827736832882</v>
      </c>
      <c r="K372" s="2">
        <f>LN(1+G372+E372)</f>
        <v>-0.004692926877321849</v>
      </c>
      <c r="L372" s="2">
        <f>LN(1+E372)</f>
        <v>3.9167954863739746e-05</v>
      </c>
      <c r="M372" s="2">
        <f>LN(1+C372+E372)</f>
        <v>-0.015764968560877612</v>
      </c>
      <c r="N372" s="2">
        <f>LN(1+D372+E372)</f>
        <v>-0.007845911108059569</v>
      </c>
      <c r="O372" s="2">
        <f>LN(1+C372+E372+Inputs!$B$7/Inputs!$B$9)</f>
        <v>-0.015754890338932057</v>
      </c>
      <c r="P372" s="2">
        <f>LN(1+D372+E372+Inputs!$B$8/Inputs!$B$9)</f>
        <v>-0.007845911108059569</v>
      </c>
      <c r="Q372" s="2">
        <f>LN(1+E372+Inputs!$B$6/Inputs!$B$9)</f>
        <v>5.900825075836163e-05</v>
      </c>
    </row>
    <row r="373" spans="1:17">
      <c r="A373" s="3">
        <v>42909</v>
      </c>
      <c r="B373" t="s">
        <v>58</v>
      </c>
      <c r="C373" s="2">
        <v>-0.01405018147601593</v>
      </c>
      <c r="D373" s="2">
        <v>-0.006479607620215774</v>
      </c>
      <c r="E373" s="2">
        <v>3.9247770821476E-05</v>
      </c>
      <c r="F373" s="2">
        <f>Inputs!$E$2*C373+Inputs!$F$2*D373</f>
        <v>-0.015127909752942401</v>
      </c>
      <c r="G373" s="2">
        <f>Inputs!$E$3*C373+Inputs!$F$3*D373</f>
        <v>-0.0035604747014544</v>
      </c>
      <c r="H373" s="2">
        <f>F373^2</f>
        <v>0.00022885365349316981</v>
      </c>
      <c r="I373" s="2">
        <f>G373^2</f>
        <v>1.2676980099696799e-05</v>
      </c>
      <c r="J373" s="2">
        <f>LN(1+F373+E373)</f>
        <v>-0.01520365402597647</v>
      </c>
      <c r="K373" s="2">
        <f>LN(1+G373+E373)</f>
        <v>-0.0035274410420013244</v>
      </c>
      <c r="L373" s="2">
        <f>LN(1+E373)</f>
        <v>3.9247000647488104e-05</v>
      </c>
      <c r="M373" s="2">
        <f>LN(1+C373+E373)</f>
        <v>-0.014110013391486547</v>
      </c>
      <c r="N373" s="2">
        <f>LN(1+D373+E373)</f>
        <v>-0.006461188444148671</v>
      </c>
      <c r="O373" s="2">
        <f>LN(1+C373+E373+Inputs!$B$7/Inputs!$B$9)</f>
        <v>-0.014099951834668766</v>
      </c>
      <c r="P373" s="2">
        <f>LN(1+D373+E373+Inputs!$B$8/Inputs!$B$9)</f>
        <v>-0.006461188444148671</v>
      </c>
      <c r="Q373" s="2">
        <f>LN(1+E373+Inputs!$B$6/Inputs!$B$9)</f>
        <v>5.908729497383387e-05</v>
      </c>
    </row>
    <row r="374" spans="1:17">
      <c r="A374" s="3">
        <v>42912</v>
      </c>
      <c r="B374" t="s">
        <v>58</v>
      </c>
      <c r="C374" s="2">
        <v>-0.004939292447412849</v>
      </c>
      <c r="D374" s="2">
        <v>-0.0003404547172499832</v>
      </c>
      <c r="E374" s="2">
        <v>3.932681970530576E-05</v>
      </c>
      <c r="F374" s="2">
        <f>Inputs!$E$2*C374+Inputs!$F$2*D374</f>
        <v>-0.0041557067882804005</v>
      </c>
      <c r="G374" s="2">
        <f>Inputs!$E$3*C374+Inputs!$F$3*D374</f>
        <v>0.0010732420735239</v>
      </c>
      <c r="H374" s="2">
        <f>F374^2</f>
        <v>1.7269898910159802e-05</v>
      </c>
      <c r="I374" s="2">
        <f>G374^2</f>
        <v>1.1518485483818802e-06</v>
      </c>
      <c r="J374" s="2">
        <f>LN(1+F374+E374)</f>
        <v>-0.004124875582730605</v>
      </c>
      <c r="K374" s="2">
        <f>LN(1+G374+E374)</f>
        <v>0.0011119504471246424</v>
      </c>
      <c r="L374" s="2">
        <f>LN(1+E374)</f>
        <v>3.932604642587638e-05</v>
      </c>
      <c r="M374" s="2">
        <f>LN(1+C374+E374)</f>
        <v>-0.0049120098194756516</v>
      </c>
      <c r="N374" s="2">
        <f>LN(1+D374+E374)</f>
        <v>-0.00030117324565428387</v>
      </c>
      <c r="O374" s="2">
        <f>LN(1+C374+E374+Inputs!$B$7/Inputs!$B$9)</f>
        <v>-0.004902040384115875</v>
      </c>
      <c r="P374" s="2">
        <f>LN(1+D374+E374+Inputs!$B$8/Inputs!$B$9)</f>
        <v>-0.00030117324565428387</v>
      </c>
      <c r="Q374" s="2">
        <f>LN(1+E374+Inputs!$B$6/Inputs!$B$9)</f>
        <v>5.916633918394625e-05</v>
      </c>
    </row>
    <row r="375" spans="1:17">
      <c r="A375" s="3">
        <v>42913</v>
      </c>
      <c r="B375" t="s">
        <v>58</v>
      </c>
      <c r="C375" s="2">
        <v>0.01258668922424917</v>
      </c>
      <c r="D375" s="2">
        <v>-0.01713326576728876</v>
      </c>
      <c r="E375" s="2">
        <v>3.940586858913553E-05</v>
      </c>
      <c r="F375" s="2">
        <f>Inputs!$E$2*C375+Inputs!$F$2*D375</f>
        <v>-0.00021060808097420058</v>
      </c>
      <c r="G375" s="2">
        <f>Inputs!$E$3*C375+Inputs!$F$3*D375</f>
        <v>-0.024335925688021502</v>
      </c>
      <c r="H375" s="2">
        <f>F375^2</f>
        <v>4.435576377163543e-08</v>
      </c>
      <c r="I375" s="2">
        <f>G375^2</f>
        <v>0.0005922372790929048</v>
      </c>
      <c r="J375" s="2">
        <f>LN(1+F375+E375)</f>
        <v>-0.00017121686915683642</v>
      </c>
      <c r="K375" s="2">
        <f>LN(1+G375+E375)</f>
        <v>-0.02459655001944631</v>
      </c>
      <c r="L375" s="2">
        <f>LN(1+E375)</f>
        <v>3.9405092198238444e-05</v>
      </c>
      <c r="M375" s="2">
        <f>LN(1+C375+E375)</f>
        <v>0.012547050607595846</v>
      </c>
      <c r="N375" s="2">
        <f>LN(1+D375+E375)</f>
        <v>-0.017241646505370196</v>
      </c>
      <c r="O375" s="2">
        <f>LN(1+C375+E375+Inputs!$B$7/Inputs!$B$9)</f>
        <v>0.012556847497457897</v>
      </c>
      <c r="P375" s="2">
        <f>LN(1+D375+E375+Inputs!$B$8/Inputs!$B$9)</f>
        <v>-0.017241646505370196</v>
      </c>
      <c r="Q375" s="2">
        <f>LN(1+E375+Inputs!$B$6/Inputs!$B$9)</f>
        <v>5.924538338803268e-05</v>
      </c>
    </row>
    <row r="376" spans="1:17">
      <c r="A376" s="3">
        <v>42914</v>
      </c>
      <c r="B376" t="s">
        <v>58</v>
      </c>
      <c r="C376" s="2">
        <v>-0.003424568812274258</v>
      </c>
      <c r="D376" s="2">
        <v>-0.003392317674059421</v>
      </c>
      <c r="E376" s="2">
        <v>3.948491747296529E-05</v>
      </c>
      <c r="F376" s="2">
        <f>Inputs!$E$2*C376+Inputs!$F$2*D376</f>
        <v>-0.0047750456542546005</v>
      </c>
      <c r="G376" s="2">
        <f>Inputs!$E$3*C376+Inputs!$F$3*D376</f>
        <v>-0.0030434105651885998</v>
      </c>
      <c r="H376" s="2">
        <f>F376^2</f>
        <v>2.2801061000215747e-05</v>
      </c>
      <c r="I376" s="2">
        <f>G376^2</f>
        <v>9.262347868301592e-06</v>
      </c>
      <c r="J376" s="2">
        <f>LN(1+F376+E376)</f>
        <v>-0.004746809029893629</v>
      </c>
      <c r="K376" s="2">
        <f>LN(1+G376+E376)</f>
        <v>-0.0030084464881465034</v>
      </c>
      <c r="L376" s="2">
        <f>LN(1+E376)</f>
        <v>3.948413796413024e-05</v>
      </c>
      <c r="M376" s="2">
        <f>LN(1+C376+E376)</f>
        <v>-0.0033908262538621466</v>
      </c>
      <c r="N376" s="2">
        <f>LN(1+D376+E376)</f>
        <v>-0.003358466095619767</v>
      </c>
      <c r="O376" s="2">
        <f>LN(1+C376+E376+Inputs!$B$7/Inputs!$B$9)</f>
        <v>-0.003380871972239388</v>
      </c>
      <c r="P376" s="2">
        <f>LN(1+D376+E376+Inputs!$B$8/Inputs!$B$9)</f>
        <v>-0.003358466095619767</v>
      </c>
      <c r="Q376" s="2">
        <f>LN(1+E376+Inputs!$B$6/Inputs!$B$9)</f>
        <v>5.932442758564908e-05</v>
      </c>
    </row>
    <row r="377" spans="1:17">
      <c r="A377" s="3">
        <v>42915</v>
      </c>
      <c r="B377" t="s">
        <v>58</v>
      </c>
      <c r="C377" s="2">
        <v>0.008267833403852096</v>
      </c>
      <c r="D377" s="2">
        <v>0.006779259867525192</v>
      </c>
      <c r="E377" s="2">
        <v>3.956396635679505E-05</v>
      </c>
      <c r="F377" s="2">
        <f>Inputs!$E$2*C377+Inputs!$F$2*D377</f>
        <v>0.0106818226435966</v>
      </c>
      <c r="G377" s="2">
        <f>Inputs!$E$3*C377+Inputs!$F$3*D377</f>
        <v>0.0056547618198744005</v>
      </c>
      <c r="H377" s="2">
        <f>F377^2</f>
        <v>0.00011410133498925306</v>
      </c>
      <c r="I377" s="2">
        <f>G377^2</f>
        <v>3.1976331239509244e-05</v>
      </c>
      <c r="J377" s="2">
        <f>LN(1+F377+E377)</f>
        <v>0.010664320070463949</v>
      </c>
      <c r="K377" s="2">
        <f>LN(1+G377+E377)</f>
        <v>0.005678174398320782</v>
      </c>
      <c r="L377" s="2">
        <f>LN(1+E377)</f>
        <v>3.956318372399585e-05</v>
      </c>
      <c r="M377" s="2">
        <f>LN(1+C377+E377)</f>
        <v>0.008273080867567019</v>
      </c>
      <c r="N377" s="2">
        <f>LN(1+D377+E377)</f>
        <v>0.0067956808005895375</v>
      </c>
      <c r="O377" s="2">
        <f>LN(1+C377+E377+Inputs!$B$7/Inputs!$B$9)</f>
        <v>0.008282919718440074</v>
      </c>
      <c r="P377" s="2">
        <f>LN(1+D377+E377+Inputs!$B$8/Inputs!$B$9)</f>
        <v>0.0067956808005895375</v>
      </c>
      <c r="Q377" s="2">
        <f>LN(1+E377+Inputs!$B$6/Inputs!$B$9)</f>
        <v>5.940347177723954e-05</v>
      </c>
    </row>
    <row r="378" spans="1:17">
      <c r="A378" s="3">
        <v>42916</v>
      </c>
      <c r="B378" t="s">
        <v>58</v>
      </c>
      <c r="C378" s="2">
        <v>0.02002966398494289</v>
      </c>
      <c r="D378" s="2">
        <v>0.003729980901040843</v>
      </c>
      <c r="E378" s="2">
        <v>3.964301524062481E-05</v>
      </c>
      <c r="F378" s="2">
        <f>Inputs!$E$2*C378+Inputs!$F$2*D378</f>
        <v>0.018261719728579</v>
      </c>
      <c r="G378" s="2">
        <f>Inputs!$E$3*C378+Inputs!$F$3*D378</f>
        <v>-0.0015329221142336997</v>
      </c>
      <c r="H378" s="2">
        <f>F378^2</f>
        <v>0.0003334904074451714</v>
      </c>
      <c r="I378" s="2">
        <f>G378^2</f>
        <v>2.3498502083067157e-06</v>
      </c>
      <c r="J378" s="2">
        <f>LN(1+F378+E378)</f>
        <v>0.018135908448363127</v>
      </c>
      <c r="K378" s="2">
        <f>LN(1+G378+E378)</f>
        <v>-0.001494395151416725</v>
      </c>
      <c r="L378" s="2">
        <f>LN(1+E378)</f>
        <v>3.964222947739119e-05</v>
      </c>
      <c r="M378" s="2">
        <f>LN(1+C378+E378)</f>
        <v>0.01987057302721238</v>
      </c>
      <c r="N378" s="2">
        <f>LN(1+D378+E378)</f>
        <v>0.003762536689250018</v>
      </c>
      <c r="O378" s="2">
        <f>LN(1+C378+E378+Inputs!$B$7/Inputs!$B$9)</f>
        <v>0.01988029843176242</v>
      </c>
      <c r="P378" s="2">
        <f>LN(1+D378+E378+Inputs!$B$8/Inputs!$B$9)</f>
        <v>0.003762536689250018</v>
      </c>
      <c r="Q378" s="2">
        <f>LN(1+E378+Inputs!$B$6/Inputs!$B$9)</f>
        <v>5.948251596235998e-05</v>
      </c>
    </row>
    <row r="379" spans="1:17">
      <c r="A379" s="3">
        <v>42919</v>
      </c>
      <c r="B379" t="s">
        <v>59</v>
      </c>
      <c r="C379" s="2">
        <v>0.01645104365518094</v>
      </c>
      <c r="D379" s="2">
        <v>0.002484404138831415</v>
      </c>
      <c r="E379" s="2">
        <v>3.972206412445457E-05</v>
      </c>
      <c r="F379" s="2">
        <f>Inputs!$E$2*C379+Inputs!$F$2*D379</f>
        <v>0.014651477407443401</v>
      </c>
      <c r="G379" s="2">
        <f>Inputs!$E$3*C379+Inputs!$F$3*D379</f>
        <v>-0.0019540281299571002</v>
      </c>
      <c r="H379" s="2">
        <f>F379^2</f>
        <v>0.0002146657902208244</v>
      </c>
      <c r="I379" s="2">
        <f>G379^2</f>
        <v>3.8182259326636425e-06</v>
      </c>
      <c r="J379" s="2">
        <f>LN(1+F379+E379)</f>
        <v>0.014584329230468306</v>
      </c>
      <c r="K379" s="2">
        <f>LN(1+G379+E379)</f>
        <v>-0.0019161406914205289</v>
      </c>
      <c r="L379" s="2">
        <f>LN(1+E379)</f>
        <v>3.9721275223650146e-05</v>
      </c>
      <c r="M379" s="2">
        <f>LN(1+C379+E379)</f>
        <v>0.01635626965671269</v>
      </c>
      <c r="N379" s="2">
        <f>LN(1+D379+E379)</f>
        <v>0.0025209459468650513</v>
      </c>
      <c r="O379" s="2">
        <f>LN(1+C379+E379+Inputs!$B$7/Inputs!$B$9)</f>
        <v>0.016366029299244023</v>
      </c>
      <c r="P379" s="2">
        <f>LN(1+D379+E379+Inputs!$B$8/Inputs!$B$9)</f>
        <v>0.0025209459468650513</v>
      </c>
      <c r="Q379" s="2">
        <f>LN(1+E379+Inputs!$B$6/Inputs!$B$9)</f>
        <v>5.9561560140344306e-05</v>
      </c>
    </row>
    <row r="380" spans="1:17">
      <c r="A380" s="3">
        <v>42921</v>
      </c>
      <c r="B380" t="s">
        <v>59</v>
      </c>
      <c r="C380" s="2">
        <v>0.01902338213995599</v>
      </c>
      <c r="D380" s="2">
        <v>-0.002244909154236698</v>
      </c>
      <c r="E380" s="2">
        <v>3.980111300828432E-05</v>
      </c>
      <c r="F380" s="2">
        <f>Inputs!$E$2*C380+Inputs!$F$2*D380</f>
        <v>0.0138717602194226</v>
      </c>
      <c r="G380" s="2">
        <f>Inputs!$E$3*C380+Inputs!$F$3*D380</f>
        <v>-0.008400905627071199</v>
      </c>
      <c r="H380" s="2">
        <f>F380^2</f>
        <v>0.00019242573158515536</v>
      </c>
      <c r="I380" s="2">
        <f>G380^2</f>
        <v>7.057521535495653e-05</v>
      </c>
      <c r="J380" s="2">
        <f>LN(1+F380+E380)</f>
        <v>0.013815683744436383</v>
      </c>
      <c r="K380" s="2">
        <f>LN(1+G380+E380)</f>
        <v>-0.008396254614647833</v>
      </c>
      <c r="L380" s="2">
        <f>LN(1+E380)</f>
        <v>3.980032096477106e-05</v>
      </c>
      <c r="M380" s="2">
        <f>LN(1+C380+E380)</f>
        <v>0.01888375747336621</v>
      </c>
      <c r="N380" s="2">
        <f>LN(1+D380+E380)</f>
        <v>-0.002207542872000849</v>
      </c>
      <c r="O380" s="2">
        <f>LN(1+C380+E380+Inputs!$B$7/Inputs!$B$9)</f>
        <v>0.018893492479786868</v>
      </c>
      <c r="P380" s="2">
        <f>LN(1+D380+E380+Inputs!$B$8/Inputs!$B$9)</f>
        <v>-0.002207542872000849</v>
      </c>
      <c r="Q380" s="2">
        <f>LN(1+E380+Inputs!$B$6/Inputs!$B$9)</f>
        <v>5.9640604313190816e-05</v>
      </c>
    </row>
    <row r="381" spans="1:17">
      <c r="A381" s="3">
        <v>42922</v>
      </c>
      <c r="B381" t="s">
        <v>59</v>
      </c>
      <c r="C381" s="2">
        <v>0.01698944749589993</v>
      </c>
      <c r="D381" s="2">
        <v>-0.001052749383201811</v>
      </c>
      <c r="E381" s="2">
        <v>3.988016189211409E-05</v>
      </c>
      <c r="F381" s="2">
        <f>Inputs!$E$2*C381+Inputs!$F$2*D381</f>
        <v>0.0129599083667988</v>
      </c>
      <c r="G381" s="2">
        <f>Inputs!$E$3*C381+Inputs!$F$3*D381</f>
        <v>-0.0063601335086124</v>
      </c>
      <c r="H381" s="2">
        <f>F381^2</f>
        <v>0.00016795922487582155</v>
      </c>
      <c r="I381" s="2">
        <f>G381^2</f>
        <v>4.0451298247374276e-05</v>
      </c>
      <c r="J381" s="2">
        <f>LN(1+F381+E381)</f>
        <v>0.012916016509062317</v>
      </c>
      <c r="K381" s="2">
        <f>LN(1+G381+E381)</f>
        <v>-0.006340310704286538</v>
      </c>
      <c r="L381" s="2">
        <f>LN(1+E381)</f>
        <v>3.987936669942171e-05</v>
      </c>
      <c r="M381" s="2">
        <f>LN(1+C381+E381)</f>
        <v>0.016885954072256806</v>
      </c>
      <c r="N381" s="2">
        <f>LN(1+D381+E381)</f>
        <v>-0.0010133825199718958</v>
      </c>
      <c r="O381" s="2">
        <f>LN(1+C381+E381+Inputs!$B$7/Inputs!$B$9)</f>
        <v>0.016895708546651664</v>
      </c>
      <c r="P381" s="2">
        <f>LN(1+D381+E381+Inputs!$B$8/Inputs!$B$9)</f>
        <v>-0.0010133825199718958</v>
      </c>
      <c r="Q381" s="2">
        <f>LN(1+E381+Inputs!$B$6/Inputs!$B$9)</f>
        <v>5.971964847956731e-05</v>
      </c>
    </row>
    <row r="382" spans="1:17">
      <c r="A382" s="3">
        <v>42923</v>
      </c>
      <c r="B382" t="s">
        <v>59</v>
      </c>
      <c r="C382" s="2">
        <v>-0.02205010031698895</v>
      </c>
      <c r="D382" s="2">
        <v>0.0166816659919355</v>
      </c>
      <c r="E382" s="2">
        <v>3.995921077594385E-05</v>
      </c>
      <c r="F382" s="2">
        <f>Inputs!$E$2*C382+Inputs!$F$2*D382</f>
        <v>-0.007631080658429603</v>
      </c>
      <c r="G382" s="2">
        <f>Inputs!$E$3*C382+Inputs!$F$3*D382</f>
        <v>0.0266330292854199</v>
      </c>
      <c r="H382" s="2">
        <f>F382^2</f>
        <v>5.823339201545838e-05</v>
      </c>
      <c r="I382" s="2">
        <f>G382^2</f>
        <v>0.000709318248918034</v>
      </c>
      <c r="J382" s="2">
        <f>LN(1+F382+E382)</f>
        <v>-0.007620080658414496</v>
      </c>
      <c r="K382" s="2">
        <f>LN(1+G382+E382)</f>
        <v>0.026323465924580278</v>
      </c>
      <c r="L382" s="2">
        <f>LN(1+E382)</f>
        <v>3.995841242804616e-05</v>
      </c>
      <c r="M382" s="2">
        <f>LN(1+C382+E382)</f>
        <v>-0.022255978230337103</v>
      </c>
      <c r="N382" s="2">
        <f>LN(1+D382+E382)</f>
        <v>0.016583358066590496</v>
      </c>
      <c r="O382" s="2">
        <f>LN(1+C382+E382+Inputs!$B$7/Inputs!$B$9)</f>
        <v>-0.02224583437811429</v>
      </c>
      <c r="P382" s="2">
        <f>LN(1+D382+E382+Inputs!$B$8/Inputs!$B$9)</f>
        <v>0.016583358066590496</v>
      </c>
      <c r="Q382" s="2">
        <f>LN(1+E382+Inputs!$B$6/Inputs!$B$9)</f>
        <v>5.979869263991785e-05</v>
      </c>
    </row>
    <row r="383" spans="1:17">
      <c r="A383" s="3">
        <v>42926</v>
      </c>
      <c r="B383" t="s">
        <v>59</v>
      </c>
      <c r="C383" s="2">
        <v>0.01820094712219797</v>
      </c>
      <c r="D383" s="2">
        <v>0.001675321690811641</v>
      </c>
      <c r="E383" s="2">
        <v>4.003825965977361E-05</v>
      </c>
      <c r="F383" s="2">
        <f>Inputs!$E$2*C383+Inputs!$F$2*D383</f>
        <v>0.0155659507122456</v>
      </c>
      <c r="G383" s="2">
        <f>Inputs!$E$3*C383+Inputs!$F$3*D383</f>
        <v>-0.003449898107685</v>
      </c>
      <c r="H383" s="2">
        <f>F383^2</f>
        <v>0.00024229882157605928</v>
      </c>
      <c r="I383" s="2">
        <f>G383^2</f>
        <v>1.1901796953408545e-05</v>
      </c>
      <c r="J383" s="2">
        <f>LN(1+F383+E383)</f>
        <v>0.015485467810031867</v>
      </c>
      <c r="K383" s="2">
        <f>LN(1+G383+E383)</f>
        <v>-0.003415686669650697</v>
      </c>
      <c r="L383" s="2">
        <f>LN(1+E383)</f>
        <v>4.003745815020036e-05</v>
      </c>
      <c r="M383" s="2">
        <f>LN(1+C383+E383)</f>
        <v>0.018076614457216485</v>
      </c>
      <c r="N383" s="2">
        <f>LN(1+D383+E383)</f>
        <v>0.0017138904008898227</v>
      </c>
      <c r="O383" s="2">
        <f>LN(1+C383+E383+Inputs!$B$7/Inputs!$B$9)</f>
        <v>0.01808635732431323</v>
      </c>
      <c r="P383" s="2">
        <f>LN(1+D383+E383+Inputs!$B$8/Inputs!$B$9)</f>
        <v>0.0017138904008898227</v>
      </c>
      <c r="Q383" s="2">
        <f>LN(1+E383+Inputs!$B$6/Inputs!$B$9)</f>
        <v>5.987773679379839e-05</v>
      </c>
    </row>
    <row r="384" spans="1:17">
      <c r="A384" s="3">
        <v>42927</v>
      </c>
      <c r="B384" t="s">
        <v>59</v>
      </c>
      <c r="C384" s="2">
        <v>0.005148929787673436</v>
      </c>
      <c r="D384" s="2">
        <v>0.009626226920684515</v>
      </c>
      <c r="E384" s="2">
        <v>4.011730854360337E-05</v>
      </c>
      <c r="F384" s="2">
        <f>Inputs!$E$2*C384+Inputs!$F$2*D384</f>
        <v>0.0098948799825494</v>
      </c>
      <c r="G384" s="2">
        <f>Inputs!$E$3*C384+Inputs!$F$3*D384</f>
        <v>0.0100067933685201</v>
      </c>
      <c r="H384" s="2">
        <f>F384^2</f>
        <v>9.790864986905681e-05</v>
      </c>
      <c r="I384" s="2">
        <f>G384^2</f>
        <v>0.00010013591352025784</v>
      </c>
      <c r="J384" s="2">
        <f>LN(1+F384+E384)</f>
        <v>0.009885969664301867</v>
      </c>
      <c r="K384" s="2">
        <f>LN(1+G384+E384)</f>
        <v>0.009996775989491093</v>
      </c>
      <c r="L384" s="2">
        <f>LN(1+E384)</f>
        <v>4.011650386632836e-05</v>
      </c>
      <c r="M384" s="2">
        <f>LN(1+C384+E384)</f>
        <v>0.005175630384617859</v>
      </c>
      <c r="N384" s="2">
        <f>LN(1+D384+E384)</f>
        <v>0.009619924026555683</v>
      </c>
      <c r="O384" s="2">
        <f>LN(1+C384+E384+Inputs!$B$7/Inputs!$B$9)</f>
        <v>0.005185499757940402</v>
      </c>
      <c r="P384" s="2">
        <f>LN(1+D384+E384+Inputs!$B$8/Inputs!$B$9)</f>
        <v>0.009619924026555683</v>
      </c>
      <c r="Q384" s="2">
        <f>LN(1+E384+Inputs!$B$6/Inputs!$B$9)</f>
        <v>5.995678094165298e-05</v>
      </c>
    </row>
    <row r="385" spans="1:17">
      <c r="A385" s="3">
        <v>42928</v>
      </c>
      <c r="B385" t="s">
        <v>59</v>
      </c>
      <c r="C385" s="2">
        <v>-0.001549654747712451</v>
      </c>
      <c r="D385" s="2">
        <v>-0.009349544740346117</v>
      </c>
      <c r="E385" s="2">
        <v>4.019635742743313E-05</v>
      </c>
      <c r="F385" s="2">
        <f>Inputs!$E$2*C385+Inputs!$F$2*D385</f>
        <v>-0.0068494506423772</v>
      </c>
      <c r="G385" s="2">
        <f>Inputs!$E$3*C385+Inputs!$F$3*D385</f>
        <v>-0.0107545572641016</v>
      </c>
      <c r="H385" s="2">
        <f>F385^2</f>
        <v>4.691497410236144e-05</v>
      </c>
      <c r="I385" s="2">
        <f>G385^2</f>
        <v>0.00011566050194684048</v>
      </c>
      <c r="J385" s="2">
        <f>LN(1+F385+E385)</f>
        <v>-0.006832543036470756</v>
      </c>
      <c r="K385" s="2">
        <f>LN(1+G385+E385)</f>
        <v>-0.010772172988660832</v>
      </c>
      <c r="L385" s="2">
        <f>LN(1+E385)</f>
        <v>4.019554957509796e-05</v>
      </c>
      <c r="M385" s="2">
        <f>LN(1+C385+E385)</f>
        <v>-0.0015105987703162068</v>
      </c>
      <c r="N385" s="2">
        <f>LN(1+D385+E385)</f>
        <v>-0.009352951186684909</v>
      </c>
      <c r="O385" s="2">
        <f>LN(1+C385+E385+Inputs!$B$7/Inputs!$B$9)</f>
        <v>-0.0015006631873300017</v>
      </c>
      <c r="P385" s="2">
        <f>LN(1+D385+E385+Inputs!$B$8/Inputs!$B$9)</f>
        <v>-0.009352951186684909</v>
      </c>
      <c r="Q385" s="2">
        <f>LN(1+E385+Inputs!$B$6/Inputs!$B$9)</f>
        <v>6.003582508214944e-05</v>
      </c>
    </row>
    <row r="386" spans="1:17">
      <c r="A386" s="3">
        <v>42929</v>
      </c>
      <c r="B386" t="s">
        <v>59</v>
      </c>
      <c r="C386" s="2">
        <v>-0.01469251147370529</v>
      </c>
      <c r="D386" s="2">
        <v>0.001794791472532033</v>
      </c>
      <c r="E386" s="2">
        <v>4.027540631126289E-05</v>
      </c>
      <c r="F386" s="2">
        <f>Inputs!$E$2*C386+Inputs!$F$2*D386</f>
        <v>-0.0106771342954448</v>
      </c>
      <c r="G386" s="2">
        <f>Inputs!$E$3*C386+Inputs!$F$3*D386</f>
        <v>0.0065615032091499</v>
      </c>
      <c r="H386" s="2">
        <f>F386^2</f>
        <v>0.00011400119676296353</v>
      </c>
      <c r="I386" s="2">
        <f>G386^2</f>
        <v>4.305332436368444e-05</v>
      </c>
      <c r="J386" s="2">
        <f>LN(1+F386+E386)</f>
        <v>-0.010693834661661341</v>
      </c>
      <c r="K386" s="2">
        <f>LN(1+G386+E386)</f>
        <v>0.006580082312128813</v>
      </c>
      <c r="L386" s="2">
        <f>LN(1+E386)</f>
        <v>4.027459527850748e-05</v>
      </c>
      <c r="M386" s="2">
        <f>LN(1+C386+E386)</f>
        <v>-0.014760640290947183</v>
      </c>
      <c r="N386" s="2">
        <f>LN(1+D386+E386)</f>
        <v>0.0018333852006317132</v>
      </c>
      <c r="O386" s="2">
        <f>LN(1+C386+E386+Inputs!$B$7/Inputs!$B$9)</f>
        <v>-0.014750572185712784</v>
      </c>
      <c r="P386" s="2">
        <f>LN(1+D386+E386+Inputs!$B$8/Inputs!$B$9)</f>
        <v>0.0018333852006317132</v>
      </c>
      <c r="Q386" s="2">
        <f>LN(1+E386+Inputs!$B$6/Inputs!$B$9)</f>
        <v>6.011486921728604e-05</v>
      </c>
    </row>
    <row r="387" spans="1:17">
      <c r="A387" s="3">
        <v>42930</v>
      </c>
      <c r="B387" t="s">
        <v>59</v>
      </c>
      <c r="C387" s="2">
        <v>-0.02175411125133215</v>
      </c>
      <c r="D387" s="2">
        <v>0.002584367925214237</v>
      </c>
      <c r="E387" s="2">
        <v>4.035445519509265E-05</v>
      </c>
      <c r="F387" s="2">
        <f>Inputs!$E$2*C387+Inputs!$F$2*D387</f>
        <v>-0.0158526682459372</v>
      </c>
      <c r="G387" s="2">
        <f>Inputs!$E$3*C387+Inputs!$F$3*D387</f>
        <v>0.0096274748856564</v>
      </c>
      <c r="H387" s="2">
        <f>F387^2</f>
        <v>0.00025130709051574565</v>
      </c>
      <c r="I387" s="2">
        <f>G387^2</f>
        <v>9.26882726739447e-05</v>
      </c>
      <c r="J387" s="2">
        <f>LN(1+F387+E387)</f>
        <v>-0.015938662100528148</v>
      </c>
      <c r="K387" s="2">
        <f>LN(1+G387+E387)</f>
        <v>0.009621394918933759</v>
      </c>
      <c r="L387" s="2">
        <f>LN(1+E387)</f>
        <v>4.035364097589081e-05</v>
      </c>
      <c r="M387" s="2">
        <f>LN(1+C387+E387)</f>
        <v>-0.021952969557864094</v>
      </c>
      <c r="N387" s="2">
        <f>LN(1+D387+E387)</f>
        <v>0.002621283812165703</v>
      </c>
      <c r="O387" s="2">
        <f>LN(1+C387+E387+Inputs!$B$7/Inputs!$B$9)</f>
        <v>-0.021942828778835268</v>
      </c>
      <c r="P387" s="2">
        <f>LN(1+D387+E387+Inputs!$B$8/Inputs!$B$9)</f>
        <v>0.002621283812165703</v>
      </c>
      <c r="Q387" s="2">
        <f>LN(1+E387+Inputs!$B$6/Inputs!$B$9)</f>
        <v>6.01939133463967e-05</v>
      </c>
    </row>
    <row r="388" spans="1:17">
      <c r="A388" s="3">
        <v>42933</v>
      </c>
      <c r="B388" t="s">
        <v>59</v>
      </c>
      <c r="C388" s="2">
        <v>-0.01602691049651959</v>
      </c>
      <c r="D388" s="2">
        <v>0.001032010685074884</v>
      </c>
      <c r="E388" s="2">
        <v>4.043350407892241E-05</v>
      </c>
      <c r="F388" s="2">
        <f>Inputs!$E$2*C388+Inputs!$F$2*D388</f>
        <v>-0.012202321986171001</v>
      </c>
      <c r="G388" s="2">
        <f>Inputs!$E$3*C388+Inputs!$F$3*D388</f>
        <v>0.0060464859710459996</v>
      </c>
      <c r="H388" s="2">
        <f>F388^2</f>
        <v>0.0001488966618541922</v>
      </c>
      <c r="I388" s="2">
        <f>G388^2</f>
        <v>3.655999259805608e-05</v>
      </c>
      <c r="J388" s="2">
        <f>LN(1+F388+E388)</f>
        <v>-0.012236449398883069</v>
      </c>
      <c r="K388" s="2">
        <f>LN(1+G388+E388)</f>
        <v>0.006068469013902798</v>
      </c>
      <c r="L388" s="2">
        <f>LN(1+E388)</f>
        <v>4.043268666680389e-05</v>
      </c>
      <c r="M388" s="2">
        <f>LN(1+C388+E388)</f>
        <v>-0.016115639130455602</v>
      </c>
      <c r="N388" s="2">
        <f>LN(1+D388+E388)</f>
        <v>0.0010718695317064359</v>
      </c>
      <c r="O388" s="2">
        <f>LN(1+C388+E388+Inputs!$B$7/Inputs!$B$9)</f>
        <v>-0.016105557373772304</v>
      </c>
      <c r="P388" s="2">
        <f>LN(1+D388+E388+Inputs!$B$8/Inputs!$B$9)</f>
        <v>0.0010718695317064359</v>
      </c>
      <c r="Q388" s="2">
        <f>LN(1+E388+Inputs!$B$6/Inputs!$B$9)</f>
        <v>6.027295746903736e-05</v>
      </c>
    </row>
    <row r="389" spans="1:17">
      <c r="A389" s="3">
        <v>42934</v>
      </c>
      <c r="B389" t="s">
        <v>59</v>
      </c>
      <c r="C389" s="2">
        <v>-7.694495756027165E-05</v>
      </c>
      <c r="D389" s="2">
        <v>-0.01469370465920164</v>
      </c>
      <c r="E389" s="2">
        <v>4.051255296275217E-05</v>
      </c>
      <c r="F389" s="2">
        <f>Inputs!$E$2*C389+Inputs!$F$2*D389</f>
        <v>-0.0088777787615692</v>
      </c>
      <c r="G389" s="2">
        <f>Inputs!$E$3*C389+Inputs!$F$3*D389</f>
        <v>-0.0176093621037744</v>
      </c>
      <c r="H389" s="2">
        <f>F389^2</f>
        <v>7.881495573936915e-05</v>
      </c>
      <c r="I389" s="2">
        <f>G389^2</f>
        <v>0.0003100896337018459</v>
      </c>
      <c r="J389" s="2">
        <f>LN(1+F389+E389)</f>
        <v>-0.00887654643675017</v>
      </c>
      <c r="K389" s="2">
        <f>LN(1+G389+E389)</f>
        <v>-0.017725013572838292</v>
      </c>
      <c r="L389" s="2">
        <f>LN(1+E389)</f>
        <v>4.051173235169078e-05</v>
      </c>
      <c r="M389" s="2">
        <f>LN(1+C389+E389)</f>
        <v>-3.643306827322517e-05</v>
      </c>
      <c r="N389" s="2">
        <f>LN(1+D389+E389)</f>
        <v>-0.014761610546671888</v>
      </c>
      <c r="O389" s="2">
        <f>LN(1+C389+E389+Inputs!$B$7/Inputs!$B$9)</f>
        <v>-2.651212111956231e-05</v>
      </c>
      <c r="P389" s="2">
        <f>LN(1+D389+E389+Inputs!$B$8/Inputs!$B$9)</f>
        <v>-0.014761610546671888</v>
      </c>
      <c r="Q389" s="2">
        <f>LN(1+E389+Inputs!$B$6/Inputs!$B$9)</f>
        <v>6.0352001585652075e-05</v>
      </c>
    </row>
    <row r="390" spans="1:17">
      <c r="A390" s="3">
        <v>42935</v>
      </c>
      <c r="B390" t="s">
        <v>59</v>
      </c>
      <c r="C390" s="2">
        <v>-0.01634591402027822</v>
      </c>
      <c r="D390" s="2">
        <v>-0.003340485658811243</v>
      </c>
      <c r="E390" s="2">
        <v>4.059160184658193E-05</v>
      </c>
      <c r="F390" s="2">
        <f>Inputs!$E$2*C390+Inputs!$F$2*D390</f>
        <v>-0.015081022611509003</v>
      </c>
      <c r="G390" s="2">
        <f>Inputs!$E$3*C390+Inputs!$F$3*D390</f>
        <v>0.0008951914155102001</v>
      </c>
      <c r="H390" s="2">
        <f>F390^2</f>
        <v>0.0002274372430088458</v>
      </c>
      <c r="I390" s="2">
        <f>G390^2</f>
        <v>8.013676704031557e-07</v>
      </c>
      <c r="J390" s="2">
        <f>LN(1+F390+E390)</f>
        <v>-0.015154685362804203</v>
      </c>
      <c r="K390" s="2">
        <f>LN(1+G390+E390)</f>
        <v>0.0009353454453898521</v>
      </c>
      <c r="L390" s="2">
        <f>LN(1+E390)</f>
        <v>4.059077803032945e-05</v>
      </c>
      <c r="M390" s="2">
        <f>LN(1+C390+E390)</f>
        <v>-0.016439717089458936</v>
      </c>
      <c r="N390" s="2">
        <f>LN(1+D390+E390)</f>
        <v>-0.0033053507149265614</v>
      </c>
      <c r="O390" s="2">
        <f>LN(1+C390+E390+Inputs!$B$7/Inputs!$B$9)</f>
        <v>-0.016429632064987505</v>
      </c>
      <c r="P390" s="2">
        <f>LN(1+D390+E390+Inputs!$B$8/Inputs!$B$9)</f>
        <v>-0.0033053507149265614</v>
      </c>
      <c r="Q390" s="2">
        <f>LN(1+E390+Inputs!$B$6/Inputs!$B$9)</f>
        <v>6.043104569601882e-05</v>
      </c>
    </row>
    <row r="391" spans="1:17">
      <c r="A391" s="3">
        <v>42936</v>
      </c>
      <c r="B391" t="s">
        <v>59</v>
      </c>
      <c r="C391" s="2">
        <v>-0.01143888720716284</v>
      </c>
      <c r="D391" s="2">
        <v>0.01084720537179094</v>
      </c>
      <c r="E391" s="2">
        <v>4.067065073041169E-05</v>
      </c>
      <c r="F391" s="2">
        <f>Inputs!$E$2*C391+Inputs!$F$2*D391</f>
        <v>-0.0026427865426558008</v>
      </c>
      <c r="G391" s="2">
        <f>Inputs!$E$3*C391+Inputs!$F$3*D391</f>
        <v>0.0164483126082981</v>
      </c>
      <c r="H391" s="2">
        <f>F391^2</f>
        <v>6.984320710042601e-06</v>
      </c>
      <c r="I391" s="2">
        <f>G391^2</f>
        <v>0.0002705469876602982</v>
      </c>
      <c r="J391" s="2">
        <f>LN(1+F391+E391)</f>
        <v>-0.0026055072799506186</v>
      </c>
      <c r="K391" s="2">
        <f>LN(1+G391+E391)</f>
        <v>0.016354516112165474</v>
      </c>
      <c r="L391" s="2">
        <f>LN(1+E391)</f>
        <v>4.066982370160972e-05</v>
      </c>
      <c r="M391" s="2">
        <f>LN(1+C391+E391)</f>
        <v>-0.011463674101632673</v>
      </c>
      <c r="N391" s="2">
        <f>LN(1+D391+E391)</f>
        <v>0.01082902985491267</v>
      </c>
      <c r="O391" s="2">
        <f>LN(1+C391+E391+Inputs!$B$7/Inputs!$B$9)</f>
        <v>-0.01145363913577455</v>
      </c>
      <c r="P391" s="2">
        <f>LN(1+D391+E391+Inputs!$B$8/Inputs!$B$9)</f>
        <v>0.01082902985491267</v>
      </c>
      <c r="Q391" s="2">
        <f>LN(1+E391+Inputs!$B$6/Inputs!$B$9)</f>
        <v>6.0510089799027435e-05</v>
      </c>
    </row>
    <row r="392" spans="1:17">
      <c r="A392" s="3">
        <v>42937</v>
      </c>
      <c r="B392" t="s">
        <v>59</v>
      </c>
      <c r="C392" s="2">
        <v>-0.008446864384681637</v>
      </c>
      <c r="D392" s="2">
        <v>0.004231577828189522</v>
      </c>
      <c r="E392" s="2">
        <v>4.074969961424145E-05</v>
      </c>
      <c r="F392" s="2">
        <f>Inputs!$E$2*C392+Inputs!$F$2*D392</f>
        <v>-0.004218544810831599</v>
      </c>
      <c r="G392" s="2">
        <f>Inputs!$E$3*C392+Inputs!$F$3*D392</f>
        <v>0.0076119527092326006</v>
      </c>
      <c r="H392" s="2">
        <f>F392^2</f>
        <v>1.7796120320994213e-05</v>
      </c>
      <c r="I392" s="2">
        <f>G392^2</f>
        <v>5.794182404759353e-05</v>
      </c>
      <c r="J392" s="2">
        <f>LN(1+F392+E392)</f>
        <v>-0.004186546480001959</v>
      </c>
      <c r="K392" s="2">
        <f>LN(1+G392+E392)</f>
        <v>0.007623569020134869</v>
      </c>
      <c r="L392" s="2">
        <f>LN(1+E392)</f>
        <v>4.074886936752992e-05</v>
      </c>
      <c r="M392" s="2">
        <f>LN(1+C392+E392)</f>
        <v>-0.008441645323644123</v>
      </c>
      <c r="N392" s="2">
        <f>LN(1+D392+E392)</f>
        <v>0.004263227047499329</v>
      </c>
      <c r="O392" s="2">
        <f>LN(1+C392+E392+Inputs!$B$7/Inputs!$B$9)</f>
        <v>-0.008431640637813308</v>
      </c>
      <c r="P392" s="2">
        <f>LN(1+D392+E392+Inputs!$B$8/Inputs!$B$9)</f>
        <v>0.004263227047499329</v>
      </c>
      <c r="Q392" s="2">
        <f>LN(1+E392+Inputs!$B$6/Inputs!$B$9)</f>
        <v>6.058913389667621e-05</v>
      </c>
    </row>
    <row r="393" spans="1:17">
      <c r="A393" s="3">
        <v>42940</v>
      </c>
      <c r="B393" t="s">
        <v>59</v>
      </c>
      <c r="C393" s="2">
        <v>0.009372228150174536</v>
      </c>
      <c r="D393" s="2">
        <v>-0.005970670777907483</v>
      </c>
      <c r="E393" s="2">
        <v>4.082874849807121E-05</v>
      </c>
      <c r="F393" s="2">
        <f>Inputs!$E$2*C393+Inputs!$F$2*D393</f>
        <v>0.003915380053395801</v>
      </c>
      <c r="G393" s="2">
        <f>Inputs!$E$3*C393+Inputs!$F$3*D393</f>
        <v>-0.0099764733785409</v>
      </c>
      <c r="H393" s="2">
        <f>F393^2</f>
        <v>1.5330200962529706e-05</v>
      </c>
      <c r="I393" s="2">
        <f>G393^2</f>
        <v>9.953002107273528e-05</v>
      </c>
      <c r="J393" s="2">
        <f>LN(1+F393+E393)</f>
        <v>0.003948403587118745</v>
      </c>
      <c r="K393" s="2">
        <f>LN(1+G393+E393)</f>
        <v>-0.009985332542063406</v>
      </c>
      <c r="L393" s="2">
        <f>LN(1+E393)</f>
        <v>4.0827915027423935e-05</v>
      </c>
      <c r="M393" s="2">
        <f>LN(1+C393+E393)</f>
        <v>0.009369030147153777</v>
      </c>
      <c r="N393" s="2">
        <f>LN(1+D393+E393)</f>
        <v>-0.005947493356969985</v>
      </c>
      <c r="O393" s="2">
        <f>LN(1+C393+E393+Inputs!$B$7/Inputs!$B$9)</f>
        <v>0.009378858221104852</v>
      </c>
      <c r="P393" s="2">
        <f>LN(1+D393+E393+Inputs!$B$8/Inputs!$B$9)</f>
        <v>-0.005947493356969985</v>
      </c>
      <c r="Q393" s="2">
        <f>LN(1+E393+Inputs!$B$6/Inputs!$B$9)</f>
        <v>6.066817798829904e-05</v>
      </c>
    </row>
    <row r="394" spans="1:17">
      <c r="A394" s="3">
        <v>42941</v>
      </c>
      <c r="B394" t="s">
        <v>59</v>
      </c>
      <c r="C394" s="2">
        <v>-0.003709527615492638</v>
      </c>
      <c r="D394" s="2">
        <v>0.00646186310946424</v>
      </c>
      <c r="E394" s="2">
        <v>4.090779738190097E-05</v>
      </c>
      <c r="F394" s="2">
        <f>Inputs!$E$2*C394+Inputs!$F$2*D394</f>
        <v>0.0009094957732839995</v>
      </c>
      <c r="G394" s="2">
        <f>Inputs!$E$3*C394+Inputs!$F$3*D394</f>
        <v>0.0088670940160047</v>
      </c>
      <c r="H394" s="2">
        <f>F394^2</f>
        <v>8.271825616214603e-07</v>
      </c>
      <c r="I394" s="2">
        <f>G394^2</f>
        <v>7.862535628866636e-05</v>
      </c>
      <c r="J394" s="2">
        <f>LN(1+F394+E394)</f>
        <v>0.0009499522231446618</v>
      </c>
      <c r="K394" s="2">
        <f>LN(1+G394+E394)</f>
        <v>0.008868559626224473</v>
      </c>
      <c r="L394" s="2">
        <f>LN(1+E394)</f>
        <v>4.09069606808477e-05</v>
      </c>
      <c r="M394" s="2">
        <f>LN(1+C394+E394)</f>
        <v>-0.003675365707585718</v>
      </c>
      <c r="N394" s="2">
        <f>LN(1+D394+E394)</f>
        <v>0.006481719106185784</v>
      </c>
      <c r="O394" s="2">
        <f>LN(1+C394+E394+Inputs!$B$7/Inputs!$B$9)</f>
        <v>-0.0036654085931882067</v>
      </c>
      <c r="P394" s="2">
        <f>LN(1+D394+E394+Inputs!$B$8/Inputs!$B$9)</f>
        <v>0.006481719106185784</v>
      </c>
      <c r="Q394" s="2">
        <f>LN(1+E394+Inputs!$B$6/Inputs!$B$9)</f>
        <v>6.074722207345188e-05</v>
      </c>
    </row>
    <row r="395" spans="1:17">
      <c r="A395" s="3">
        <v>42942</v>
      </c>
      <c r="B395" t="s">
        <v>59</v>
      </c>
      <c r="C395" s="2">
        <v>-0.001637592884969941</v>
      </c>
      <c r="D395" s="2">
        <v>-0.01387953151944851</v>
      </c>
      <c r="E395" s="2">
        <v>4.098684626573073E-05</v>
      </c>
      <c r="F395" s="2">
        <f>Inputs!$E$2*C395+Inputs!$F$2*D395</f>
        <v>-0.0096377932196454</v>
      </c>
      <c r="G395" s="2">
        <f>Inputs!$E$3*C395+Inputs!$F$3*D395</f>
        <v>-0.0161641599578478</v>
      </c>
      <c r="H395" s="2">
        <f>F395^2</f>
        <v>9.288705814464283e-05</v>
      </c>
      <c r="I395" s="2">
        <f>G395^2</f>
        <v>0.0002612800671428901</v>
      </c>
      <c r="J395" s="2">
        <f>LN(1+F395+E395)</f>
        <v>-0.009643152474390713</v>
      </c>
      <c r="K395" s="2">
        <f>LN(1+G395+E395)</f>
        <v>-0.016254565691448074</v>
      </c>
      <c r="L395" s="2">
        <f>LN(1+E395)</f>
        <v>4.0986006328245284e-05</v>
      </c>
      <c r="M395" s="2">
        <f>LN(1+C395+E395)</f>
        <v>-0.0015978819724152835</v>
      </c>
      <c r="N395" s="2">
        <f>LN(1+D395+E395)</f>
        <v>-0.013935189988748186</v>
      </c>
      <c r="O395" s="2">
        <f>LN(1+C395+E395+Inputs!$B$7/Inputs!$B$9)</f>
        <v>-0.001587945522186042</v>
      </c>
      <c r="P395" s="2">
        <f>LN(1+D395+E395+Inputs!$B$8/Inputs!$B$9)</f>
        <v>-0.013935189988748186</v>
      </c>
      <c r="Q395" s="2">
        <f>LN(1+E395+Inputs!$B$6/Inputs!$B$9)</f>
        <v>6.082626615257877e-05</v>
      </c>
    </row>
    <row r="396" spans="1:17">
      <c r="A396" s="3">
        <v>42943</v>
      </c>
      <c r="B396" t="s">
        <v>59</v>
      </c>
      <c r="C396" s="2">
        <v>0.01658790242091723</v>
      </c>
      <c r="D396" s="2">
        <v>0.004644206712325071</v>
      </c>
      <c r="E396" s="2">
        <v>4.106589514956049E-05</v>
      </c>
      <c r="F396" s="2">
        <f>Inputs!$E$2*C396+Inputs!$F$2*D396</f>
        <v>0.016056845964128603</v>
      </c>
      <c r="G396" s="2">
        <f>Inputs!$E$3*C396+Inputs!$F$3*D396</f>
        <v>0.0005966773285148996</v>
      </c>
      <c r="H396" s="2">
        <f>F396^2</f>
        <v>0.000257822302315753</v>
      </c>
      <c r="I396" s="2">
        <f>G396^2</f>
        <v>3.560238343636775e-07</v>
      </c>
      <c r="J396" s="2">
        <f>LN(1+F396+E396)</f>
        <v>0.015969714453240573</v>
      </c>
      <c r="K396" s="2">
        <f>LN(1+G396+E396)</f>
        <v>0.0006375399518740476</v>
      </c>
      <c r="L396" s="2">
        <f>LN(1+E396)</f>
        <v>4.106505196917262e-05</v>
      </c>
      <c r="M396" s="2">
        <f>LN(1+C396+E396)</f>
        <v>0.016492220918865423</v>
      </c>
      <c r="N396" s="2">
        <f>LN(1+D396+E396)</f>
        <v>0.004674330881108239</v>
      </c>
      <c r="O396" s="2">
        <f>LN(1+C396+E396+Inputs!$B$7/Inputs!$B$9)</f>
        <v>0.0165019792346577</v>
      </c>
      <c r="P396" s="2">
        <f>LN(1+D396+E396+Inputs!$B$8/Inputs!$B$9)</f>
        <v>0.004674330881108239</v>
      </c>
      <c r="Q396" s="2">
        <f>LN(1+E396+Inputs!$B$6/Inputs!$B$9)</f>
        <v>6.090531022523568e-05</v>
      </c>
    </row>
    <row r="397" spans="1:17">
      <c r="A397" s="3">
        <v>42944</v>
      </c>
      <c r="B397" t="s">
        <v>59</v>
      </c>
      <c r="C397" s="2">
        <v>-0.00383768209233808</v>
      </c>
      <c r="D397" s="2">
        <v>0.002641710728314802</v>
      </c>
      <c r="E397" s="2">
        <v>4.114494403339026E-05</v>
      </c>
      <c r="F397" s="2">
        <f>Inputs!$E$2*C397+Inputs!$F$2*D397</f>
        <v>-0.0014851192368814002</v>
      </c>
      <c r="G397" s="2">
        <f>Inputs!$E$3*C397+Inputs!$F$3*D397</f>
        <v>0.0043213575016794</v>
      </c>
      <c r="H397" s="2">
        <f>F397^2</f>
        <v>2.2055791477551925e-06</v>
      </c>
      <c r="I397" s="2">
        <f>G397^2</f>
        <v>1.8674130657320823e-05</v>
      </c>
      <c r="J397" s="2">
        <f>LN(1+F397+E397)</f>
        <v>-0.001445017828407673</v>
      </c>
      <c r="K397" s="2">
        <f>LN(1+G397+E397)</f>
        <v>0.004353014316567119</v>
      </c>
      <c r="L397" s="2">
        <f>LN(1+E397)</f>
        <v>4.1144097602963605e-05</v>
      </c>
      <c r="M397" s="2">
        <f>LN(1+C397+E397)</f>
        <v>-0.0038037622882698473</v>
      </c>
      <c r="N397" s="2">
        <f>LN(1+D397+E397)</f>
        <v>0.002679263238954354</v>
      </c>
      <c r="O397" s="2">
        <f>LN(1+C397+E397+Inputs!$B$7/Inputs!$B$9)</f>
        <v>-0.003793803895337181</v>
      </c>
      <c r="P397" s="2">
        <f>LN(1+D397+E397+Inputs!$B$8/Inputs!$B$9)</f>
        <v>0.002679263238954354</v>
      </c>
      <c r="Q397" s="2">
        <f>LN(1+E397+Inputs!$B$6/Inputs!$B$9)</f>
        <v>6.0984354290756486e-05</v>
      </c>
    </row>
    <row r="398" spans="1:17">
      <c r="A398" s="3">
        <v>42947</v>
      </c>
      <c r="B398" t="s">
        <v>59</v>
      </c>
      <c r="C398" s="2">
        <v>0.00755524080808158</v>
      </c>
      <c r="D398" s="2">
        <v>-0.004732628725544977</v>
      </c>
      <c r="E398" s="2">
        <v>4.122399291722002E-05</v>
      </c>
      <c r="F398" s="2">
        <f>Inputs!$E$2*C398+Inputs!$F$2*D398</f>
        <v>0.0032046154111386002</v>
      </c>
      <c r="G398" s="2">
        <f>Inputs!$E$3*C398+Inputs!$F$3*D398</f>
        <v>-0.0079457267130786</v>
      </c>
      <c r="H398" s="2">
        <f>F398^2</f>
        <v>1.0269559933307019e-05</v>
      </c>
      <c r="I398" s="2">
        <f>G398^2</f>
        <v>6.313457299893085e-05</v>
      </c>
      <c r="J398" s="2">
        <f>LN(1+F398+E398)</f>
        <v>0.0032405830384783854</v>
      </c>
      <c r="K398" s="2">
        <f>LN(1+G398+E398)</f>
        <v>-0.007935908911482993</v>
      </c>
      <c r="L398" s="2">
        <f>LN(1+E398)</f>
        <v>4.122314323161655e-05</v>
      </c>
      <c r="M398" s="2">
        <f>LN(1+C398+E398)</f>
        <v>0.007567756956021589</v>
      </c>
      <c r="N398" s="2">
        <f>LN(1+D398+E398)</f>
        <v>-0.004702443911513349</v>
      </c>
      <c r="O398" s="2">
        <f>LN(1+C398+E398+Inputs!$B$7/Inputs!$B$9)</f>
        <v>0.007577602748885154</v>
      </c>
      <c r="P398" s="2">
        <f>LN(1+D398+E398+Inputs!$B$8/Inputs!$B$9)</f>
        <v>-0.004702443911513349</v>
      </c>
      <c r="Q398" s="2">
        <f>LN(1+E398+Inputs!$B$6/Inputs!$B$9)</f>
        <v>6.106339835113949e-05</v>
      </c>
    </row>
    <row r="399" spans="1:17">
      <c r="A399" s="3">
        <v>42948</v>
      </c>
      <c r="B399" t="s">
        <v>60</v>
      </c>
      <c r="C399" s="2">
        <v>-0.01232775455929323</v>
      </c>
      <c r="D399" s="2">
        <v>-0.007629058758010443</v>
      </c>
      <c r="E399" s="2">
        <v>4.130304180104978E-05</v>
      </c>
      <c r="F399" s="2">
        <f>Inputs!$E$2*C399+Inputs!$F$2*D399</f>
        <v>-0.014439638902240402</v>
      </c>
      <c r="G399" s="2">
        <f>Inputs!$E$3*C399+Inputs!$F$3*D399</f>
        <v>-0.005456544141824099</v>
      </c>
      <c r="H399" s="2">
        <f>F399^2</f>
        <v>0.0002085031716270944</v>
      </c>
      <c r="I399" s="2">
        <f>G399^2</f>
        <v>2.9773873971674895e-05</v>
      </c>
      <c r="J399" s="2">
        <f>LN(1+F399+E399)</f>
        <v>-0.014502997751019181</v>
      </c>
      <c r="K399" s="2">
        <f>LN(1+G399+E399)</f>
        <v>-0.005429956667716813</v>
      </c>
      <c r="L399" s="2">
        <f>LN(1+E399)</f>
        <v>4.130218885379925e-05</v>
      </c>
      <c r="M399" s="2">
        <f>LN(1+C399+E399)</f>
        <v>-0.012362553958016722</v>
      </c>
      <c r="N399" s="2">
        <f>LN(1+D399+E399)</f>
        <v>-0.007616689187610463</v>
      </c>
      <c r="O399" s="2">
        <f>LN(1+C399+E399+Inputs!$B$7/Inputs!$B$9)</f>
        <v>-0.012352509967919983</v>
      </c>
      <c r="P399" s="2">
        <f>LN(1+D399+E399+Inputs!$B$8/Inputs!$B$9)</f>
        <v>-0.007616689187610463</v>
      </c>
      <c r="Q399" s="2">
        <f>LN(1+E399+Inputs!$B$6/Inputs!$B$9)</f>
        <v>6.11424424050525e-05</v>
      </c>
    </row>
    <row r="400" spans="1:17">
      <c r="A400" s="3">
        <v>42949</v>
      </c>
      <c r="B400" t="s">
        <v>60</v>
      </c>
      <c r="C400" s="2">
        <v>0.004166611960431935</v>
      </c>
      <c r="D400" s="2">
        <v>-0.01246312793387915</v>
      </c>
      <c r="E400" s="2">
        <v>4.138209068487953E-05</v>
      </c>
      <c r="F400" s="2">
        <f>Inputs!$E$2*C400+Inputs!$F$2*D400</f>
        <v>-0.004144587191981799</v>
      </c>
      <c r="G400" s="2">
        <f>Inputs!$E$3*C400+Inputs!$F$3*D400</f>
        <v>-0.0162057371087844</v>
      </c>
      <c r="H400" s="2">
        <f>F400^2</f>
        <v>1.7177602991939575e-05</v>
      </c>
      <c r="I400" s="2">
        <f>G400^2</f>
        <v>0.00026262591523903175</v>
      </c>
      <c r="J400" s="2">
        <f>LN(1+F400+E400)</f>
        <v>-0.004111646346033606</v>
      </c>
      <c r="K400" s="2">
        <f>LN(1+G400+E400)</f>
        <v>-0.01629642333794085</v>
      </c>
      <c r="L400" s="2">
        <f>LN(1+E400)</f>
        <v>4.1381234469955776e-05</v>
      </c>
      <c r="M400" s="2">
        <f>LN(1+C400+E400)</f>
        <v>0.004199165203310163</v>
      </c>
      <c r="N400" s="2">
        <f>LN(1+D400+E400)</f>
        <v>-0.012499540630803824</v>
      </c>
      <c r="O400" s="2">
        <f>LN(1+C400+E400+Inputs!$B$7/Inputs!$B$9)</f>
        <v>0.004209044218391169</v>
      </c>
      <c r="P400" s="2">
        <f>LN(1+D400+E400+Inputs!$B$8/Inputs!$B$9)</f>
        <v>-0.012499540630803824</v>
      </c>
      <c r="Q400" s="2">
        <f>LN(1+E400+Inputs!$B$6/Inputs!$B$9)</f>
        <v>6.122148645293958e-05</v>
      </c>
    </row>
    <row r="401" spans="1:17">
      <c r="A401" s="3">
        <v>42950</v>
      </c>
      <c r="B401" t="s">
        <v>60</v>
      </c>
      <c r="C401" s="2">
        <v>0.001612020737985727</v>
      </c>
      <c r="D401" s="2">
        <v>-0.001878992492306119</v>
      </c>
      <c r="E401" s="2">
        <v>4.146113956870929E-05</v>
      </c>
      <c r="F401" s="2">
        <f>Inputs!$E$2*C401+Inputs!$F$2*D401</f>
        <v>0.00016222109500520026</v>
      </c>
      <c r="G401" s="2">
        <f>Inputs!$E$3*C401+Inputs!$F$3*D401</f>
        <v>-0.0027383972121629995</v>
      </c>
      <c r="H401" s="2">
        <f>F401^2</f>
        <v>2.631568366468621e-08</v>
      </c>
      <c r="I401" s="2">
        <f>G401^2</f>
        <v>7.498819291582088e-06</v>
      </c>
      <c r="J401" s="2">
        <f>LN(1+F401+E401)</f>
        <v>0.0002036614941640344</v>
      </c>
      <c r="K401" s="2">
        <f>LN(1+G401+E401)</f>
        <v>-0.002700579356627469</v>
      </c>
      <c r="L401" s="2">
        <f>LN(1+E401)</f>
        <v>4.146028007964206e-05</v>
      </c>
      <c r="M401" s="2">
        <f>LN(1+C401+E401)</f>
        <v>0.0016521163814033788</v>
      </c>
      <c r="N401" s="2">
        <f>LN(1+D401+E401)</f>
        <v>-0.0018392216844822656</v>
      </c>
      <c r="O401" s="2">
        <f>LN(1+C401+E401+Inputs!$B$7/Inputs!$B$9)</f>
        <v>0.001662020590765414</v>
      </c>
      <c r="P401" s="2">
        <f>LN(1+D401+E401+Inputs!$B$8/Inputs!$B$9)</f>
        <v>-0.0018392216844822656</v>
      </c>
      <c r="Q401" s="2">
        <f>LN(1+E401+Inputs!$B$6/Inputs!$B$9)</f>
        <v>6.130053049435667e-05</v>
      </c>
    </row>
    <row r="402" spans="1:17">
      <c r="A402" s="3">
        <v>42951</v>
      </c>
      <c r="B402" t="s">
        <v>60</v>
      </c>
      <c r="C402" s="2">
        <v>0.002172413697283724</v>
      </c>
      <c r="D402" s="2">
        <v>0.01323358166290279</v>
      </c>
      <c r="E402" s="2">
        <v>4.154018845253905E-05</v>
      </c>
      <c r="F402" s="2">
        <f>Inputs!$E$2*C402+Inputs!$F$2*D402</f>
        <v>0.009678079955569</v>
      </c>
      <c r="G402" s="2">
        <f>Inputs!$E$3*C402+Inputs!$F$3*D402</f>
        <v>0.0152285738862984</v>
      </c>
      <c r="H402" s="2">
        <f>F402^2</f>
        <v>9.366523162638645e-05</v>
      </c>
      <c r="I402" s="2">
        <f>G402^2</f>
        <v>0.00023190946261044955</v>
      </c>
      <c r="J402" s="2">
        <f>LN(1+F402+E402)</f>
        <v>0.009672688496295639</v>
      </c>
      <c r="K402" s="2">
        <f>LN(1+G402+E402)</f>
        <v>0.015154699330642661</v>
      </c>
      <c r="L402" s="2">
        <f>LN(1+E402)</f>
        <v>4.153932568330217e-05</v>
      </c>
      <c r="M402" s="2">
        <f>LN(1+C402+E402)</f>
        <v>0.0022115067011366286</v>
      </c>
      <c r="N402" s="2">
        <f>LN(1+D402+E402)</f>
        <v>0.013187779558537373</v>
      </c>
      <c r="O402" s="2">
        <f>LN(1+C402+E402+Inputs!$B$7/Inputs!$B$9)</f>
        <v>0.002221405371756546</v>
      </c>
      <c r="P402" s="2">
        <f>LN(1+D402+E402+Inputs!$B$8/Inputs!$B$9)</f>
        <v>0.013187779558537373</v>
      </c>
      <c r="Q402" s="2">
        <f>LN(1+E402+Inputs!$B$6/Inputs!$B$9)</f>
        <v>6.137957452974783e-05</v>
      </c>
    </row>
    <row r="403" spans="1:17">
      <c r="A403" s="3">
        <v>42954</v>
      </c>
      <c r="B403" t="s">
        <v>60</v>
      </c>
      <c r="C403" s="2">
        <v>-0.00470482132970543</v>
      </c>
      <c r="D403" s="2">
        <v>0.006999959257700695</v>
      </c>
      <c r="E403" s="2">
        <v>4.161923733636882E-05</v>
      </c>
      <c r="F403" s="2">
        <f>Inputs!$E$2*C403+Inputs!$F$2*D403</f>
        <v>0.00043611849085660025</v>
      </c>
      <c r="G403" s="2">
        <f>Inputs!$E$3*C403+Inputs!$F$3*D403</f>
        <v>0.0098113975081527</v>
      </c>
      <c r="H403" s="2">
        <f>F403^2</f>
        <v>1.9019933806703853e-07</v>
      </c>
      <c r="I403" s="2">
        <f>G403^2</f>
        <v>9.6263521062985e-05</v>
      </c>
      <c r="J403" s="2">
        <f>LN(1+F403+E403)</f>
        <v>0.0004776236478563338</v>
      </c>
      <c r="K403" s="2">
        <f>LN(1+G403+E403)</f>
        <v>0.009804792288181203</v>
      </c>
      <c r="L403" s="2">
        <f>LN(1+E403)</f>
        <v>4.16183712796039e-05</v>
      </c>
      <c r="M403" s="2">
        <f>LN(1+C403+E403)</f>
        <v>-0.004674108739053466</v>
      </c>
      <c r="N403" s="2">
        <f>LN(1+D403+E403)</f>
        <v>0.007016902352794359</v>
      </c>
      <c r="O403" s="2">
        <f>LN(1+C403+E403+Inputs!$B$7/Inputs!$B$9)</f>
        <v>-0.004664141675139216</v>
      </c>
      <c r="P403" s="2">
        <f>LN(1+D403+E403+Inputs!$B$8/Inputs!$B$9)</f>
        <v>0.007016902352794359</v>
      </c>
      <c r="Q403" s="2">
        <f>LN(1+E403+Inputs!$B$6/Inputs!$B$9)</f>
        <v>6.145861855778088e-05</v>
      </c>
    </row>
    <row r="404" spans="1:17">
      <c r="A404" s="3">
        <v>42955</v>
      </c>
      <c r="B404" t="s">
        <v>60</v>
      </c>
      <c r="C404" s="2">
        <v>-0.01034552892940314</v>
      </c>
      <c r="D404" s="2">
        <v>0.003222701831364527</v>
      </c>
      <c r="E404" s="2">
        <v>4.169828622019858E-05</v>
      </c>
      <c r="F404" s="2">
        <f>Inputs!$E$2*C404+Inputs!$F$2*D404</f>
        <v>-0.0063428020447034005</v>
      </c>
      <c r="G404" s="2">
        <f>Inputs!$E$3*C404+Inputs!$F$3*D404</f>
        <v>0.0069709008764589</v>
      </c>
      <c r="H404" s="2">
        <f>F404^2</f>
        <v>4.023113777829364e-05</v>
      </c>
      <c r="I404" s="2">
        <f>G404^2</f>
        <v>4.859345902941546e-05</v>
      </c>
      <c r="J404" s="2">
        <f>LN(1+F404+E404)</f>
        <v>-0.006321039501683988</v>
      </c>
      <c r="K404" s="2">
        <f>LN(1+G404+E404)</f>
        <v>0.006988125239763628</v>
      </c>
      <c r="L404" s="2">
        <f>LN(1+E404)</f>
        <v>4.1697416870545554e-05</v>
      </c>
      <c r="M404" s="2">
        <f>LN(1+C404+E404)</f>
        <v>-0.010357282596412158</v>
      </c>
      <c r="N404" s="2">
        <f>LN(1+D404+E404)</f>
        <v>0.0032590835306903674</v>
      </c>
      <c r="O404" s="2">
        <f>LN(1+C404+E404+Inputs!$B$7/Inputs!$B$9)</f>
        <v>-0.010347258726959754</v>
      </c>
      <c r="P404" s="2">
        <f>LN(1+D404+E404+Inputs!$B$8/Inputs!$B$9)</f>
        <v>0.0032590835306903674</v>
      </c>
      <c r="Q404" s="2">
        <f>LN(1+E404+Inputs!$B$6/Inputs!$B$9)</f>
        <v>6.153766258045408e-05</v>
      </c>
    </row>
    <row r="405" spans="1:17">
      <c r="A405" s="3">
        <v>42956</v>
      </c>
      <c r="B405" t="s">
        <v>60</v>
      </c>
      <c r="C405" s="2">
        <v>-0.002848884873936507</v>
      </c>
      <c r="D405" s="2">
        <v>0.007145761432498966</v>
      </c>
      <c r="E405" s="2">
        <v>4.177733510402834E-05</v>
      </c>
      <c r="F405" s="2">
        <f>Inputs!$E$2*C405+Inputs!$F$2*D405</f>
        <v>0.0020083489603497998</v>
      </c>
      <c r="G405" s="2">
        <f>Inputs!$E$3*C405+Inputs!$F$3*D405</f>
        <v>0.0094295791811799</v>
      </c>
      <c r="H405" s="2">
        <f>F405^2</f>
        <v>4.0334655465381215e-06</v>
      </c>
      <c r="I405" s="2">
        <f>G405^2</f>
        <v>8.891696353414139e-05</v>
      </c>
      <c r="J405" s="2">
        <f>LN(1+F405+E405)</f>
        <v>0.0020480276543701163</v>
      </c>
      <c r="K405" s="2">
        <f>LN(1+G405+E405)</f>
        <v>0.009426784436839362</v>
      </c>
      <c r="L405" s="2">
        <f>LN(1+E405)</f>
        <v>4.1776462455461046e-05</v>
      </c>
      <c r="M405" s="2">
        <f>LN(1+C405+E405)</f>
        <v>-0.002811054853956207</v>
      </c>
      <c r="N405" s="2">
        <f>LN(1+D405+E405)</f>
        <v>0.007161831518568525</v>
      </c>
      <c r="O405" s="2">
        <f>LN(1+C405+E405+Inputs!$B$7/Inputs!$B$9)</f>
        <v>-0.002801106341839873</v>
      </c>
      <c r="P405" s="2">
        <f>LN(1+D405+E405+Inputs!$B$8/Inputs!$B$9)</f>
        <v>0.007161831518568525</v>
      </c>
      <c r="Q405" s="2">
        <f>LN(1+E405+Inputs!$B$6/Inputs!$B$9)</f>
        <v>6.161670659710136e-05</v>
      </c>
    </row>
    <row r="406" spans="1:17">
      <c r="A406" s="3">
        <v>42957</v>
      </c>
      <c r="B406" t="s">
        <v>60</v>
      </c>
      <c r="C406" s="2">
        <v>-0.004411233347868298</v>
      </c>
      <c r="D406" s="2">
        <v>-0.004692109119657019</v>
      </c>
      <c r="E406" s="2">
        <v>4.18563839878581E-05</v>
      </c>
      <c r="F406" s="2">
        <f>Inputs!$E$2*C406+Inputs!$F$2*D406</f>
        <v>-0.006344252150088599</v>
      </c>
      <c r="G406" s="2">
        <f>Inputs!$E$3*C406+Inputs!$F$3*D406</f>
        <v>-0.004307160939228</v>
      </c>
      <c r="H406" s="2">
        <f>F406^2</f>
        <v>4.024953534390382e-05</v>
      </c>
      <c r="I406" s="2">
        <f>G406^2</f>
        <v>1.8551635356411426e-05</v>
      </c>
      <c r="J406" s="2">
        <f>LN(1+F406+E406)</f>
        <v>-0.006322339702843563</v>
      </c>
      <c r="K406" s="2">
        <f>LN(1+G406+E406)</f>
        <v>-0.004274426915719385</v>
      </c>
      <c r="L406" s="2">
        <f>LN(1+E406)</f>
        <v>4.1855508033906296e-05</v>
      </c>
      <c r="M406" s="2">
        <f>LN(1+C406+E406)</f>
        <v>-0.0043789505887680946</v>
      </c>
      <c r="N406" s="2">
        <f>LN(1+D406+E406)</f>
        <v>-0.00466109879860702</v>
      </c>
      <c r="O406" s="2">
        <f>LN(1+C406+E406+Inputs!$B$7/Inputs!$B$9)</f>
        <v>-0.004368986466265226</v>
      </c>
      <c r="P406" s="2">
        <f>LN(1+D406+E406+Inputs!$B$8/Inputs!$B$9)</f>
        <v>-0.00466109879860702</v>
      </c>
      <c r="Q406" s="2">
        <f>LN(1+E406+Inputs!$B$6/Inputs!$B$9)</f>
        <v>6.169575060727867e-05</v>
      </c>
    </row>
    <row r="407" spans="1:17">
      <c r="A407" s="3">
        <v>42958</v>
      </c>
      <c r="B407" t="s">
        <v>60</v>
      </c>
      <c r="C407" s="2">
        <v>0.01019482032759015</v>
      </c>
      <c r="D407" s="2">
        <v>0.003903479026517013</v>
      </c>
      <c r="E407" s="2">
        <v>4.193543287168786E-05</v>
      </c>
      <c r="F407" s="2">
        <f>Inputs!$E$2*C407+Inputs!$F$2*D407</f>
        <v>0.0104979436779822</v>
      </c>
      <c r="G407" s="2">
        <f>Inputs!$E$3*C407+Inputs!$F$3*D407</f>
        <v>0.0016257287335434</v>
      </c>
      <c r="H407" s="2">
        <f>F407^2</f>
        <v>0.00011020682146608646</v>
      </c>
      <c r="I407" s="2">
        <f>G407^2</f>
        <v>2.642993915068627e-06</v>
      </c>
      <c r="J407" s="2">
        <f>LN(1+F407+E407)</f>
        <v>0.010484721814003466</v>
      </c>
      <c r="K407" s="2">
        <f>LN(1+G407+E407)</f>
        <v>0.0016662751585808419</v>
      </c>
      <c r="L407" s="2">
        <f>LN(1+E407)</f>
        <v>4.193455360632538e-05</v>
      </c>
      <c r="M407" s="2">
        <f>LN(1+C407+E407)</f>
        <v>0.010184715027073134</v>
      </c>
      <c r="N407" s="2">
        <f>LN(1+D407+E407)</f>
        <v>0.003937651723202923</v>
      </c>
      <c r="O407" s="2">
        <f>LN(1+C407+E407+Inputs!$B$7/Inputs!$B$9)</f>
        <v>0.010194535087720861</v>
      </c>
      <c r="P407" s="2">
        <f>LN(1+D407+E407+Inputs!$B$8/Inputs!$B$9)</f>
        <v>0.003937651723202923</v>
      </c>
      <c r="Q407" s="2">
        <f>LN(1+E407+Inputs!$B$6/Inputs!$B$9)</f>
        <v>6.177479461143004e-05</v>
      </c>
    </row>
    <row r="408" spans="1:17">
      <c r="A408" s="3">
        <v>42961</v>
      </c>
      <c r="B408" t="s">
        <v>60</v>
      </c>
      <c r="C408" s="2">
        <v>0.009025700715001063</v>
      </c>
      <c r="D408" s="2">
        <v>-0.02147437685213349</v>
      </c>
      <c r="E408" s="2">
        <v>4.201448175551762E-05</v>
      </c>
      <c r="F408" s="2">
        <f>Inputs!$E$2*C408+Inputs!$F$2*D408</f>
        <v>-0.0056640655392789984</v>
      </c>
      <c r="G408" s="2">
        <f>Inputs!$E$3*C408+Inputs!$F$3*D408</f>
        <v>-0.0284769624370599</v>
      </c>
      <c r="H408" s="2">
        <f>F408^2</f>
        <v>3.208163843324789e-05</v>
      </c>
      <c r="I408" s="2">
        <f>G408^2</f>
        <v>0.0008109373896417205</v>
      </c>
      <c r="J408" s="2">
        <f>LN(1+F408+E408)</f>
        <v>-0.005637914270370562</v>
      </c>
      <c r="K408" s="2">
        <f>LN(1+G408+E408)</f>
        <v>-0.02884705198982258</v>
      </c>
      <c r="L408" s="2">
        <f>LN(1+E408)</f>
        <v>4.2013599172274234e-05</v>
      </c>
      <c r="M408" s="2">
        <f>LN(1+C408+E408)</f>
        <v>0.009026850315609269</v>
      </c>
      <c r="N408" s="2">
        <f>LN(1+D408+E408)</f>
        <v>-0.021665370743812994</v>
      </c>
      <c r="O408" s="2">
        <f>LN(1+C408+E408+Inputs!$B$7/Inputs!$B$9)</f>
        <v>0.009036681753087934</v>
      </c>
      <c r="P408" s="2">
        <f>LN(1+D408+E408+Inputs!$B$8/Inputs!$B$9)</f>
        <v>-0.021665370743812994</v>
      </c>
      <c r="Q408" s="2">
        <f>LN(1+E408+Inputs!$B$6/Inputs!$B$9)</f>
        <v>6.185383860911143e-05</v>
      </c>
    </row>
    <row r="409" spans="1:17">
      <c r="A409" s="3">
        <v>42962</v>
      </c>
      <c r="B409" t="s">
        <v>60</v>
      </c>
      <c r="C409" s="2">
        <v>-0.01133778704742563</v>
      </c>
      <c r="D409" s="2">
        <v>-0.00477554863624385</v>
      </c>
      <c r="E409" s="2">
        <v>4.209353063934738E-05</v>
      </c>
      <c r="F409" s="2">
        <f>Inputs!$E$2*C409+Inputs!$F$2*D409</f>
        <v>-0.011935558819687202</v>
      </c>
      <c r="G409" s="2">
        <f>Inputs!$E$3*C409+Inputs!$F$3*D409</f>
        <v>-0.0023293222492650006</v>
      </c>
      <c r="H409" s="2">
        <f>F409^2</f>
        <v>0.00014245756433821296</v>
      </c>
      <c r="I409" s="2">
        <f>G409^2</f>
        <v>5.4257421409209615e-06</v>
      </c>
      <c r="J409" s="2">
        <f>LN(1+F409+E409)</f>
        <v>-0.01196475839255127</v>
      </c>
      <c r="K409" s="2">
        <f>LN(1+G409+E409)</f>
        <v>-0.0022898484215671264</v>
      </c>
      <c r="L409" s="2">
        <f>LN(1+E409)</f>
        <v>4.209264473130877e-05</v>
      </c>
      <c r="M409" s="2">
        <f>LN(1+C409+E409)</f>
        <v>-0.011359974385882902</v>
      </c>
      <c r="N409" s="2">
        <f>LN(1+D409+E409)</f>
        <v>-0.004744693382166062</v>
      </c>
      <c r="O409" s="2">
        <f>LN(1+C409+E409+Inputs!$B$7/Inputs!$B$9)</f>
        <v>-0.011349940460588712</v>
      </c>
      <c r="P409" s="2">
        <f>LN(1+D409+E409+Inputs!$B$8/Inputs!$B$9)</f>
        <v>-0.004744693382166062</v>
      </c>
      <c r="Q409" s="2">
        <f>LN(1+E409+Inputs!$B$6/Inputs!$B$9)</f>
        <v>6.193288259987876e-05</v>
      </c>
    </row>
    <row r="410" spans="1:17">
      <c r="A410" s="3">
        <v>42963</v>
      </c>
      <c r="B410" t="s">
        <v>60</v>
      </c>
      <c r="C410" s="2">
        <v>0.006397003323755529</v>
      </c>
      <c r="D410" s="2">
        <v>-0.00455206278798023</v>
      </c>
      <c r="E410" s="2">
        <v>4.217257952317714E-05</v>
      </c>
      <c r="F410" s="2">
        <f>Inputs!$E$2*C410+Inputs!$F$2*D410</f>
        <v>0.002386364986216801</v>
      </c>
      <c r="G410" s="2">
        <f>Inputs!$E$3*C410+Inputs!$F$3*D410</f>
        <v>-0.007381576342702799</v>
      </c>
      <c r="H410" s="2">
        <f>F410^2</f>
        <v>5.694737847441513e-06</v>
      </c>
      <c r="I410" s="2">
        <f>G410^2</f>
        <v>5.4487669303149635e-05</v>
      </c>
      <c r="J410" s="2">
        <f>LN(1+F410+E410)</f>
        <v>0.0024255934340452253</v>
      </c>
      <c r="K410" s="2">
        <f>LN(1+G410+E410)</f>
        <v>-0.007366469700188703</v>
      </c>
      <c r="L410" s="2">
        <f>LN(1+E410)</f>
        <v>4.2171690284761215e-05</v>
      </c>
      <c r="M410" s="2">
        <f>LN(1+C410+E410)</f>
        <v>0.00641853297835041</v>
      </c>
      <c r="N410" s="2">
        <f>LN(1+D410+E410)</f>
        <v>-0.004520090442814814</v>
      </c>
      <c r="O410" s="2">
        <f>LN(1+C410+E410+Inputs!$B$7/Inputs!$B$9)</f>
        <v>0.0064283900926836515</v>
      </c>
      <c r="P410" s="2">
        <f>LN(1+D410+E410+Inputs!$B$8/Inputs!$B$9)</f>
        <v>-0.004520090442814814</v>
      </c>
      <c r="Q410" s="2">
        <f>LN(1+E410+Inputs!$B$6/Inputs!$B$9)</f>
        <v>6.201192658506425e-05</v>
      </c>
    </row>
    <row r="411" spans="1:17">
      <c r="A411" s="3">
        <v>42964</v>
      </c>
      <c r="B411" t="s">
        <v>60</v>
      </c>
      <c r="C411" s="2">
        <v>-0.004364172373418153</v>
      </c>
      <c r="D411" s="2">
        <v>-0.0007983737323164708</v>
      </c>
      <c r="E411" s="2">
        <v>4.22516284070069E-05</v>
      </c>
      <c r="F411" s="2">
        <f>Inputs!$E$2*C411+Inputs!$F$2*D411</f>
        <v>-0.003970362138124</v>
      </c>
      <c r="G411" s="2">
        <f>Inputs!$E$3*C411+Inputs!$F$3*D411</f>
        <v>0.00035120323324620015</v>
      </c>
      <c r="H411" s="2">
        <f>F411^2</f>
        <v>1.576377550784858e-05</v>
      </c>
      <c r="I411" s="2">
        <f>G411^2</f>
        <v>1.2334371104258488e-07</v>
      </c>
      <c r="J411" s="2">
        <f>LN(1+F411+E411)</f>
        <v>-0.003935845799164578</v>
      </c>
      <c r="K411" s="2">
        <f>LN(1+G411+E411)</f>
        <v>0.0003933774785864041</v>
      </c>
      <c r="L411" s="2">
        <f>LN(1+E411)</f>
        <v>4.22507358321875e-05</v>
      </c>
      <c r="M411" s="2">
        <f>LN(1+C411+E411)</f>
        <v>-0.00433128724172069</v>
      </c>
      <c r="N411" s="2">
        <f>LN(1+D411+E411)</f>
        <v>-0.0007564081084056082</v>
      </c>
      <c r="O411" s="2">
        <f>LN(1+C411+E411+Inputs!$B$7/Inputs!$B$9)</f>
        <v>-0.004321323594127567</v>
      </c>
      <c r="P411" s="2">
        <f>LN(1+D411+E411+Inputs!$B$8/Inputs!$B$9)</f>
        <v>-0.0007564081084056082</v>
      </c>
      <c r="Q411" s="2">
        <f>LN(1+E411+Inputs!$B$6/Inputs!$B$9)</f>
        <v>6.209097056422381e-05</v>
      </c>
    </row>
    <row r="412" spans="1:17">
      <c r="A412" s="3">
        <v>42965</v>
      </c>
      <c r="B412" t="s">
        <v>60</v>
      </c>
      <c r="C412" s="2">
        <v>0.004511994189390592</v>
      </c>
      <c r="D412" s="2">
        <v>-0.001643236422772931</v>
      </c>
      <c r="E412" s="2">
        <v>4.233067729083666E-05</v>
      </c>
      <c r="F412" s="2">
        <f>Inputs!$E$2*C412+Inputs!$F$2*D412</f>
        <v>0.0026236534978490004</v>
      </c>
      <c r="G412" s="2">
        <f>Inputs!$E$3*C412+Inputs!$F$3*D412</f>
        <v>-0.0033254819641449</v>
      </c>
      <c r="H412" s="2">
        <f>F412^2</f>
        <v>6.883557676775295e-06</v>
      </c>
      <c r="I412" s="2">
        <f>G412^2</f>
        <v>1.1058830293853023e-05</v>
      </c>
      <c r="J412" s="2">
        <f>LN(1+F412+E412)</f>
        <v>0.0026624367428623803</v>
      </c>
      <c r="K412" s="2">
        <f>LN(1+G412+E412)</f>
        <v>-0.0032885526536165317</v>
      </c>
      <c r="L412" s="2">
        <f>LN(1+E412)</f>
        <v>4.232978137314355e-05</v>
      </c>
      <c r="M412" s="2">
        <f>LN(1+C412+E412)</f>
        <v>0.004543985310432711</v>
      </c>
      <c r="N412" s="2">
        <f>LN(1+D412+E412)</f>
        <v>-0.0016021885643825275</v>
      </c>
      <c r="O412" s="2">
        <f>LN(1+C412+E412+Inputs!$B$7/Inputs!$B$9)</f>
        <v>0.004553860919634741</v>
      </c>
      <c r="P412" s="2">
        <f>LN(1+D412+E412+Inputs!$B$8/Inputs!$B$9)</f>
        <v>-0.0016021885643825275</v>
      </c>
      <c r="Q412" s="2">
        <f>LN(1+E412+Inputs!$B$6/Inputs!$B$9)</f>
        <v>6.217001453691339e-05</v>
      </c>
    </row>
    <row r="413" spans="1:17">
      <c r="A413" s="3">
        <v>42968</v>
      </c>
      <c r="B413" t="s">
        <v>60</v>
      </c>
      <c r="C413" s="2">
        <v>-0.004113866739089221</v>
      </c>
      <c r="D413" s="2">
        <v>0.004559823155021527</v>
      </c>
      <c r="E413" s="2">
        <v>4.240972617466642E-05</v>
      </c>
      <c r="F413" s="2">
        <f>Inputs!$E$2*C413+Inputs!$F$2*D413</f>
        <v>-0.0005551994982580001</v>
      </c>
      <c r="G413" s="2">
        <f>Inputs!$E$3*C413+Inputs!$F$3*D413</f>
        <v>0.0067059478077531</v>
      </c>
      <c r="H413" s="2">
        <f>F413^2</f>
        <v>3.0824648286593504e-07</v>
      </c>
      <c r="I413" s="2">
        <f>G413^2</f>
        <v>4.496973600030861e-05</v>
      </c>
      <c r="J413" s="2">
        <f>LN(1+F413+E413)</f>
        <v>-0.000512921293722088</v>
      </c>
      <c r="K413" s="2">
        <f>LN(1+G413+E413)</f>
        <v>0.006725689294336764</v>
      </c>
      <c r="L413" s="2">
        <f>LN(1+E413)</f>
        <v>4.240882690807344e-05</v>
      </c>
      <c r="M413" s="2">
        <f>LN(1+C413+E413)</f>
        <v>-0.00407976796013137</v>
      </c>
      <c r="N413" s="2">
        <f>LN(1+D413+E413)</f>
        <v>0.0045916749883120915</v>
      </c>
      <c r="O413" s="2">
        <f>LN(1+C413+E413+Inputs!$B$7/Inputs!$B$9)</f>
        <v>-0.004069806818260117</v>
      </c>
      <c r="P413" s="2">
        <f>LN(1+D413+E413+Inputs!$B$8/Inputs!$B$9)</f>
        <v>0.0045916749883120915</v>
      </c>
      <c r="Q413" s="2">
        <f>LN(1+E413+Inputs!$B$6/Inputs!$B$9)</f>
        <v>6.224905850357706e-05</v>
      </c>
    </row>
    <row r="414" spans="1:17">
      <c r="A414" s="3">
        <v>42969</v>
      </c>
      <c r="B414" t="s">
        <v>60</v>
      </c>
      <c r="C414" s="2">
        <v>-0.01268688312523433</v>
      </c>
      <c r="D414" s="2">
        <v>-0.005068178684358667</v>
      </c>
      <c r="E414" s="2">
        <v>4.248877505849618E-05</v>
      </c>
      <c r="F414" s="2">
        <f>Inputs!$E$2*C414+Inputs!$F$2*D414</f>
        <v>-0.013190413710802599</v>
      </c>
      <c r="G414" s="2">
        <f>Inputs!$E$3*C414+Inputs!$F$3*D414</f>
        <v>-0.002275749483660599</v>
      </c>
      <c r="H414" s="2">
        <f>F414^2</f>
        <v>0.00017398701386212918</v>
      </c>
      <c r="I414" s="2">
        <f>G414^2</f>
        <v>5.179035712381483e-06</v>
      </c>
      <c r="J414" s="2">
        <f>LN(1+F414+E414)</f>
        <v>-0.013235124069274167</v>
      </c>
      <c r="K414" s="2">
        <f>LN(1+G414+E414)</f>
        <v>-0.0022357581542899662</v>
      </c>
      <c r="L414" s="2">
        <f>LN(1+E414)</f>
        <v>4.2487872435644956e-05</v>
      </c>
      <c r="M414" s="2">
        <f>LN(1+C414+E414)</f>
        <v>-0.012725015025118096</v>
      </c>
      <c r="N414" s="2">
        <f>LN(1+D414+E414)</f>
        <v>-0.005038361161183204</v>
      </c>
      <c r="O414" s="2">
        <f>LN(1+C414+E414+Inputs!$B$7/Inputs!$B$9)</f>
        <v>-0.012714967393824422</v>
      </c>
      <c r="P414" s="2">
        <f>LN(1+D414+E414+Inputs!$B$8/Inputs!$B$9)</f>
        <v>-0.005038361161183204</v>
      </c>
      <c r="Q414" s="2">
        <f>LN(1+E414+Inputs!$B$6/Inputs!$B$9)</f>
        <v>6.232810246288262e-05</v>
      </c>
    </row>
    <row r="415" spans="1:17">
      <c r="A415" s="3">
        <v>42970</v>
      </c>
      <c r="B415" t="s">
        <v>60</v>
      </c>
      <c r="C415" s="2">
        <v>0.009598333468166569</v>
      </c>
      <c r="D415" s="2">
        <v>0.006891335461744015</v>
      </c>
      <c r="E415" s="2">
        <v>4.256782394232594E-05</v>
      </c>
      <c r="F415" s="2">
        <f>Inputs!$E$2*C415+Inputs!$F$2*D415</f>
        <v>0.011813468051580001</v>
      </c>
      <c r="G415" s="2">
        <f>Inputs!$E$3*C415+Inputs!$F$3*D415</f>
        <v>0.0053901025136427</v>
      </c>
      <c r="H415" s="2">
        <f>F415^2</f>
        <v>0.0001395580274057014</v>
      </c>
      <c r="I415" s="2">
        <f>G415^2</f>
        <v>2.9053205107577357e-05</v>
      </c>
      <c r="J415" s="2">
        <f>LN(1+F415+E415)</f>
        <v>0.011786303705783315</v>
      </c>
      <c r="K415" s="2">
        <f>LN(1+G415+E415)</f>
        <v>0.005417966613703088</v>
      </c>
      <c r="L415" s="2">
        <f>LN(1+E415)</f>
        <v>4.2566917957856414e-05</v>
      </c>
      <c r="M415" s="2">
        <f>LN(1+C415+E415)</f>
        <v>0.009594724357532744</v>
      </c>
      <c r="N415" s="2">
        <f>LN(1+D415+E415)</f>
        <v>0.006909974328667109</v>
      </c>
      <c r="O415" s="2">
        <f>LN(1+C415+E415+Inputs!$B$7/Inputs!$B$9)</f>
        <v>0.009604550213605617</v>
      </c>
      <c r="P415" s="2">
        <f>LN(1+D415+E415+Inputs!$B$8/Inputs!$B$9)</f>
        <v>0.006909974328667109</v>
      </c>
      <c r="Q415" s="2">
        <f>LN(1+E415+Inputs!$B$6/Inputs!$B$9)</f>
        <v>6.240714641682836e-05</v>
      </c>
    </row>
    <row r="416" spans="1:17">
      <c r="A416" s="3">
        <v>42971</v>
      </c>
      <c r="B416" t="s">
        <v>60</v>
      </c>
      <c r="C416" s="2">
        <v>0.004420094003861286</v>
      </c>
      <c r="D416" s="2">
        <v>-0.002084693609830383</v>
      </c>
      <c r="E416" s="2">
        <v>4.26468728261557E-05</v>
      </c>
      <c r="F416" s="2">
        <f>Inputs!$E$2*C416+Inputs!$F$2*D416</f>
        <v>0.0022852590371908003</v>
      </c>
      <c r="G416" s="2">
        <f>Inputs!$E$3*C416+Inputs!$F$3*D416</f>
        <v>-0.0038276605329543</v>
      </c>
      <c r="H416" s="2">
        <f>F416^2</f>
        <v>5.222408867062224e-06</v>
      </c>
      <c r="I416" s="2">
        <f>G416^2</f>
        <v>1.4650985155535998e-05</v>
      </c>
      <c r="J416" s="2">
        <f>LN(1+F416+E416)</f>
        <v>0.0023252005348131603</v>
      </c>
      <c r="K416" s="2">
        <f>LN(1+G416+E416)</f>
        <v>-0.0037921949509149913</v>
      </c>
      <c r="L416" s="2">
        <f>LN(1+E416)</f>
        <v>4.2645963474041715e-05</v>
      </c>
      <c r="M416" s="2">
        <f>LN(1+C416+E416)</f>
        <v>0.004452812376543846</v>
      </c>
      <c r="N416" s="2">
        <f>LN(1+D416+E416)</f>
        <v>-0.0020441345572105815</v>
      </c>
      <c r="O416" s="2">
        <f>LN(1+C416+E416+Inputs!$B$7/Inputs!$B$9)</f>
        <v>0.00446268888617074</v>
      </c>
      <c r="P416" s="2">
        <f>LN(1+D416+E416+Inputs!$B$8/Inputs!$B$9)</f>
        <v>-0.0020441345572105815</v>
      </c>
      <c r="Q416" s="2">
        <f>LN(1+E416+Inputs!$B$6/Inputs!$B$9)</f>
        <v>6.248619036474817e-05</v>
      </c>
    </row>
    <row r="417" spans="1:17">
      <c r="A417" s="3">
        <v>42972</v>
      </c>
      <c r="B417" t="s">
        <v>60</v>
      </c>
      <c r="C417" s="2">
        <v>-0.01075777380659546</v>
      </c>
      <c r="D417" s="2">
        <v>0.006187105439879197</v>
      </c>
      <c r="E417" s="2">
        <v>4.272592170998546E-05</v>
      </c>
      <c r="F417" s="2">
        <f>Inputs!$E$2*C417+Inputs!$F$2*D417</f>
        <v>-0.004893955781348602</v>
      </c>
      <c r="G417" s="2">
        <f>Inputs!$E$3*C417+Inputs!$F$3*D417</f>
        <v>0.010651858669833298</v>
      </c>
      <c r="H417" s="2">
        <f>F417^2</f>
        <v>2.3950803189795407e-05</v>
      </c>
      <c r="I417" s="2">
        <f>G417^2</f>
        <v>0.00011346209312210281</v>
      </c>
      <c r="J417" s="2">
        <f>LN(1+F417+E417)</f>
        <v>-0.00486303527119943</v>
      </c>
      <c r="K417" s="2">
        <f>LN(1+G417+E417)</f>
        <v>0.010637802007092684</v>
      </c>
      <c r="L417" s="2">
        <f>LN(1+E417)</f>
        <v>4.272500898375679e-05</v>
      </c>
      <c r="M417" s="2">
        <f>LN(1+C417+E417)</f>
        <v>-0.010772867407362486</v>
      </c>
      <c r="N417" s="2">
        <f>LN(1+D417+E417)</f>
        <v>0.006210506182400079</v>
      </c>
      <c r="O417" s="2">
        <f>LN(1+C417+E417+Inputs!$B$7/Inputs!$B$9)</f>
        <v>-0.010762839371297349</v>
      </c>
      <c r="P417" s="2">
        <f>LN(1+D417+E417+Inputs!$B$8/Inputs!$B$9)</f>
        <v>0.006210506182400079</v>
      </c>
      <c r="Q417" s="2">
        <f>LN(1+E417+Inputs!$B$6/Inputs!$B$9)</f>
        <v>6.256523430619803e-05</v>
      </c>
    </row>
    <row r="418" spans="1:17">
      <c r="A418" s="3">
        <v>42975</v>
      </c>
      <c r="B418" t="s">
        <v>60</v>
      </c>
      <c r="C418" s="2">
        <v>-0.01711732464213526</v>
      </c>
      <c r="D418" s="2">
        <v>0.0006469628426326911</v>
      </c>
      <c r="E418" s="2">
        <v>4.280497059381522E-05</v>
      </c>
      <c r="F418" s="2">
        <f>Inputs!$E$2*C418+Inputs!$F$2*D418</f>
        <v>-0.013305682008128202</v>
      </c>
      <c r="G418" s="2">
        <f>Inputs!$E$3*C418+Inputs!$F$3*D418</f>
        <v>0.0059115528038001</v>
      </c>
      <c r="H418" s="2">
        <f>F418^2</f>
        <v>0.00017704117370142655</v>
      </c>
      <c r="I418" s="2">
        <f>G418^2</f>
        <v>3.4946456552116825e-05</v>
      </c>
      <c r="J418" s="2">
        <f>LN(1+F418+E418)</f>
        <v>-0.013351614473695213</v>
      </c>
      <c r="K418" s="2">
        <f>LN(1+G418+E418)</f>
        <v>0.0059367006427251895</v>
      </c>
      <c r="L418" s="2">
        <f>LN(1+E418)</f>
        <v>4.280405448744571e-05</v>
      </c>
      <c r="M418" s="2">
        <f>LN(1+C418+E418)</f>
        <v>-0.01722197012316266</v>
      </c>
      <c r="N418" s="2">
        <f>LN(1+D418+E418)</f>
        <v>0.0006895300327450107</v>
      </c>
      <c r="O418" s="2">
        <f>LN(1+C418+E418+Inputs!$B$7/Inputs!$B$9)</f>
        <v>-0.017211877206603648</v>
      </c>
      <c r="P418" s="2">
        <f>LN(1+D418+E418+Inputs!$B$8/Inputs!$B$9)</f>
        <v>0.0006895300327450107</v>
      </c>
      <c r="Q418" s="2">
        <f>LN(1+E418+Inputs!$B$6/Inputs!$B$9)</f>
        <v>6.264427824162195e-05</v>
      </c>
    </row>
    <row r="419" spans="1:17">
      <c r="A419" s="3">
        <v>42976</v>
      </c>
      <c r="B419" t="s">
        <v>60</v>
      </c>
      <c r="C419" s="2">
        <v>-0.00515735565107194</v>
      </c>
      <c r="D419" s="2">
        <v>0.005697408258011702</v>
      </c>
      <c r="E419" s="2">
        <v>4.288401947764498E-05</v>
      </c>
      <c r="F419" s="2">
        <f>Inputs!$E$2*C419+Inputs!$F$2*D419</f>
        <v>-0.0007074395660503999</v>
      </c>
      <c r="G419" s="2">
        <f>Inputs!$E$3*C419+Inputs!$F$3*D419</f>
        <v>0.008384096604936</v>
      </c>
      <c r="H419" s="2">
        <f>F419^2</f>
        <v>5.004707396135781e-07</v>
      </c>
      <c r="I419" s="2">
        <f>G419^2</f>
        <v>7.029307588089936e-05</v>
      </c>
      <c r="J419" s="2">
        <f>LN(1+F419+E419)</f>
        <v>-0.0006647764614884492</v>
      </c>
      <c r="K419" s="2">
        <f>LN(1+G419+E419)</f>
        <v>0.008391671848759072</v>
      </c>
      <c r="L419" s="2">
        <f>LN(1+E419)</f>
        <v>4.28830999846644e-05</v>
      </c>
      <c r="M419" s="2">
        <f>LN(1+C419+E419)</f>
        <v>-0.005127595307866155</v>
      </c>
      <c r="N419" s="2">
        <f>LN(1+D419+E419)</f>
        <v>0.005723879578945228</v>
      </c>
      <c r="O419" s="2">
        <f>LN(1+C419+E419+Inputs!$B$7/Inputs!$B$9)</f>
        <v>-0.005117623723019812</v>
      </c>
      <c r="P419" s="2">
        <f>LN(1+D419+E419+Inputs!$B$8/Inputs!$B$9)</f>
        <v>0.005723879578945228</v>
      </c>
      <c r="Q419" s="2">
        <f>LN(1+E419+Inputs!$B$6/Inputs!$B$9)</f>
        <v>6.272332217057592e-05</v>
      </c>
    </row>
    <row r="420" spans="1:17">
      <c r="A420" s="3">
        <v>42977</v>
      </c>
      <c r="B420" t="s">
        <v>60</v>
      </c>
      <c r="C420" s="2">
        <v>-0.01136785360988608</v>
      </c>
      <c r="D420" s="2">
        <v>0.002964440672885696</v>
      </c>
      <c r="E420" s="2">
        <v>4.296306836147474E-05</v>
      </c>
      <c r="F420" s="2">
        <f>Inputs!$E$2*C420+Inputs!$F$2*D420</f>
        <v>-0.007315618484177201</v>
      </c>
      <c r="G420" s="2">
        <f>Inputs!$E$3*C420+Inputs!$F$3*D420</f>
        <v>0.006967684890429</v>
      </c>
      <c r="H420" s="2">
        <f>F420^2</f>
        <v>5.3518273806035135e-05</v>
      </c>
      <c r="I420" s="2">
        <f>G420^2</f>
        <v>4.854863273231258e-05</v>
      </c>
      <c r="J420" s="2">
        <f>LN(1+F420+E420)</f>
        <v>-0.007299230098278771</v>
      </c>
      <c r="K420" s="2">
        <f>LN(1+G420+E420)</f>
        <v>0.006986187621723027</v>
      </c>
      <c r="L420" s="2">
        <f>LN(1+E420)</f>
        <v>4.296214547474676e-05</v>
      </c>
      <c r="M420" s="2">
        <f>LN(1+C420+E420)</f>
        <v>-0.011389505415188305</v>
      </c>
      <c r="N420" s="2">
        <f>LN(1+D420+E420)</f>
        <v>0.0030028905490121186</v>
      </c>
      <c r="O420" s="2">
        <f>LN(1+C420+E420+Inputs!$B$7/Inputs!$B$9)</f>
        <v>-0.011379471193579084</v>
      </c>
      <c r="P420" s="2">
        <f>LN(1+D420+E420+Inputs!$B$8/Inputs!$B$9)</f>
        <v>0.0030028905490121186</v>
      </c>
      <c r="Q420" s="2">
        <f>LN(1+E420+Inputs!$B$6/Inputs!$B$9)</f>
        <v>6.280236609239381e-05</v>
      </c>
    </row>
    <row r="421" spans="1:17">
      <c r="A421" s="3">
        <v>42978</v>
      </c>
      <c r="B421" t="s">
        <v>60</v>
      </c>
      <c r="C421" s="2">
        <v>-0.003397751474852221</v>
      </c>
      <c r="D421" s="2">
        <v>-0.004154975972305731</v>
      </c>
      <c r="E421" s="2">
        <v>4.30421172453045E-05</v>
      </c>
      <c r="F421" s="2">
        <f>Inputs!$E$2*C421+Inputs!$F$2*D421</f>
        <v>-0.0052111867632652</v>
      </c>
      <c r="G421" s="2">
        <f>Inputs!$E$3*C421+Inputs!$F$3*D421</f>
        <v>-0.0039666457243116</v>
      </c>
      <c r="H421" s="2">
        <f>F421^2</f>
        <v>2.7156467481630428e-05</v>
      </c>
      <c r="I421" s="2">
        <f>G421^2</f>
        <v>1.5734278302199498e-05</v>
      </c>
      <c r="J421" s="2">
        <f>LN(1+F421+E421)</f>
        <v>-0.005181545697884626</v>
      </c>
      <c r="K421" s="2">
        <f>LN(1+G421+E421)</f>
        <v>-0.003931321133322825</v>
      </c>
      <c r="L421" s="2">
        <f>LN(1+E421)</f>
        <v>4.3041190959691104e-05</v>
      </c>
      <c r="M421" s="2">
        <f>LN(1+C421+E421)</f>
        <v>-0.003360349011509493</v>
      </c>
      <c r="N421" s="2">
        <f>LN(1+D421+E421)</f>
        <v>-0.004120411101640396</v>
      </c>
      <c r="O421" s="2">
        <f>LN(1+C421+E421+Inputs!$B$7/Inputs!$B$9)</f>
        <v>-0.003350395033259655</v>
      </c>
      <c r="P421" s="2">
        <f>LN(1+D421+E421+Inputs!$B$8/Inputs!$B$9)</f>
        <v>-0.004120411101640396</v>
      </c>
      <c r="Q421" s="2">
        <f>LN(1+E421+Inputs!$B$6/Inputs!$B$9)</f>
        <v>6.288141000907392e-05</v>
      </c>
    </row>
    <row r="422" spans="1:17">
      <c r="A422" s="3">
        <v>42979</v>
      </c>
      <c r="B422" t="s">
        <v>61</v>
      </c>
      <c r="C422" s="2">
        <v>0.006225559085983418</v>
      </c>
      <c r="D422" s="2">
        <v>0.001022696962746829</v>
      </c>
      <c r="E422" s="2">
        <v>4.312116612913426E-05</v>
      </c>
      <c r="F422" s="2">
        <f>Inputs!$E$2*C422+Inputs!$F$2*D422</f>
        <v>0.0055940654464346</v>
      </c>
      <c r="G422" s="2">
        <f>Inputs!$E$3*C422+Inputs!$F$3*D422</f>
        <v>-0.0006404313704984998</v>
      </c>
      <c r="H422" s="2">
        <f>F422^2</f>
        <v>3.129356821899354e-05</v>
      </c>
      <c r="I422" s="2">
        <f>G422^2</f>
        <v>4.1015234031858674e-07</v>
      </c>
      <c r="J422" s="2">
        <f>LN(1+F422+E422)</f>
        <v>0.005621357137385888</v>
      </c>
      <c r="K422" s="2">
        <f>LN(1+G422+E422)</f>
        <v>-0.0005974886651774515</v>
      </c>
      <c r="L422" s="2">
        <f>LN(1+E422)</f>
        <v>4.312023643816523e-05</v>
      </c>
      <c r="M422" s="2">
        <f>LN(1+C422+E422)</f>
        <v>0.006249113804024249</v>
      </c>
      <c r="N422" s="2">
        <f>LN(1+D422+E422)</f>
        <v>0.0010652505479901294</v>
      </c>
      <c r="O422" s="2">
        <f>LN(1+C422+E422+Inputs!$B$7/Inputs!$B$9)</f>
        <v>0.006258972588474901</v>
      </c>
      <c r="P422" s="2">
        <f>LN(1+D422+E422+Inputs!$B$8/Inputs!$B$9)</f>
        <v>0.0010652505479901294</v>
      </c>
      <c r="Q422" s="2">
        <f>LN(1+E422+Inputs!$B$6/Inputs!$B$9)</f>
        <v>6.296045391928404e-05</v>
      </c>
    </row>
    <row r="423" spans="1:17">
      <c r="A423" s="3">
        <v>42983</v>
      </c>
      <c r="B423" t="s">
        <v>61</v>
      </c>
      <c r="C423" s="2">
        <v>0.01409320648174056</v>
      </c>
      <c r="D423" s="2">
        <v>-0.00826682518706149</v>
      </c>
      <c r="E423" s="2">
        <v>4.320021501296402E-05</v>
      </c>
      <c r="F423" s="2">
        <f>Inputs!$E$2*C423+Inputs!$F$2*D423</f>
        <v>0.0063144700731562</v>
      </c>
      <c r="G423" s="2">
        <f>Inputs!$E$3*C423+Inputs!$F$3*D423</f>
        <v>-0.0141481521689955</v>
      </c>
      <c r="H423" s="2">
        <f>F423^2</f>
        <v>3.9872532304785266e-05</v>
      </c>
      <c r="I423" s="2">
        <f>G423^2</f>
        <v>0.00020017020979705208</v>
      </c>
      <c r="J423" s="2">
        <f>LN(1+F423+E423)</f>
        <v>0.006337545554996135</v>
      </c>
      <c r="K423" s="2">
        <f>LN(1+G423+E423)</f>
        <v>-0.014205372188867074</v>
      </c>
      <c r="L423" s="2">
        <f>LN(1+E423)</f>
        <v>4.31992819106132e-05</v>
      </c>
      <c r="M423" s="2">
        <f>LN(1+C423+E423)</f>
        <v>0.014037419491114186</v>
      </c>
      <c r="N423" s="2">
        <f>LN(1+D423+E423)</f>
        <v>-0.00825762550930702</v>
      </c>
      <c r="O423" s="2">
        <f>LN(1+C423+E423+Inputs!$B$7/Inputs!$B$9)</f>
        <v>0.014047201790942813</v>
      </c>
      <c r="P423" s="2">
        <f>LN(1+D423+E423+Inputs!$B$8/Inputs!$B$9)</f>
        <v>-0.00825762550930702</v>
      </c>
      <c r="Q423" s="2">
        <f>LN(1+E423+Inputs!$B$6/Inputs!$B$9)</f>
        <v>6.303949782346827e-05</v>
      </c>
    </row>
    <row r="424" spans="1:17">
      <c r="A424" s="3">
        <v>42984</v>
      </c>
      <c r="B424" t="s">
        <v>61</v>
      </c>
      <c r="C424" s="2">
        <v>-0.003286549328422058</v>
      </c>
      <c r="D424" s="2">
        <v>0.0001235471328571817</v>
      </c>
      <c r="E424" s="2">
        <v>4.327926389679378E-05</v>
      </c>
      <c r="F424" s="2">
        <f>Inputs!$E$2*C424+Inputs!$F$2*D424</f>
        <v>-0.0025551111830234004</v>
      </c>
      <c r="G424" s="2">
        <f>Inputs!$E$3*C424+Inputs!$F$3*D424</f>
        <v>0.0011342213579549998</v>
      </c>
      <c r="H424" s="2">
        <f>F424^2</f>
        <v>6.52859315761124e-06</v>
      </c>
      <c r="I424" s="2">
        <f>G424^2</f>
        <v>1.2864580888412838e-06</v>
      </c>
      <c r="J424" s="2">
        <f>LN(1+F424+E424)</f>
        <v>-0.002514991861526598</v>
      </c>
      <c r="K424" s="2">
        <f>LN(1+G424+E424)</f>
        <v>0.0011768079117191427</v>
      </c>
      <c r="L424" s="2">
        <f>LN(1+E424)</f>
        <v>4.3278327376590946e-05</v>
      </c>
      <c r="M424" s="2">
        <f>LN(1+C424+E424)</f>
        <v>-0.0032485408643844276</v>
      </c>
      <c r="N424" s="2">
        <f>LN(1+D424+E424)</f>
        <v>0.0001668124827779358</v>
      </c>
      <c r="O424" s="2">
        <f>LN(1+C424+E424+Inputs!$B$7/Inputs!$B$9)</f>
        <v>-0.0032385879990027007</v>
      </c>
      <c r="P424" s="2">
        <f>LN(1+D424+E424+Inputs!$B$8/Inputs!$B$9)</f>
        <v>0.0001668124827779358</v>
      </c>
      <c r="Q424" s="2">
        <f>LN(1+E424+Inputs!$B$6/Inputs!$B$9)</f>
        <v>6.311854172118253e-05</v>
      </c>
    </row>
    <row r="425" spans="1:17">
      <c r="A425" s="3">
        <v>42985</v>
      </c>
      <c r="B425" t="s">
        <v>61</v>
      </c>
      <c r="C425" s="2">
        <v>0.01338303080893289</v>
      </c>
      <c r="D425" s="2">
        <v>0.002162866346251804</v>
      </c>
      <c r="E425" s="2">
        <v>4.335831278062355E-05</v>
      </c>
      <c r="F425" s="2">
        <f>Inputs!$E$2*C425+Inputs!$F$2*D425</f>
        <v>0.0120041444548976</v>
      </c>
      <c r="G425" s="2">
        <f>Inputs!$E$3*C425+Inputs!$F$3*D425</f>
        <v>-0.0014194696271774992</v>
      </c>
      <c r="H425" s="2">
        <f>F425^2</f>
        <v>0.0001440994840940488</v>
      </c>
      <c r="I425" s="2">
        <f>G425^2</f>
        <v>2.0148940224794284e-06</v>
      </c>
      <c r="J425" s="2">
        <f>LN(1+F425+E425)</f>
        <v>0.011975509257403715</v>
      </c>
      <c r="K425" s="2">
        <f>LN(1+G425+E425)</f>
        <v>-0.001377059025108059</v>
      </c>
      <c r="L425" s="2">
        <f>LN(1+E425)</f>
        <v>4.335737283654255e-05</v>
      </c>
      <c r="M425" s="2">
        <f>LN(1+C425+E425)</f>
        <v>0.013337053903891111</v>
      </c>
      <c r="N425" s="2">
        <f>LN(1+D425+E425)</f>
        <v>0.0022037945190435003</v>
      </c>
      <c r="O425" s="2">
        <f>LN(1+C425+E425+Inputs!$B$7/Inputs!$B$9)</f>
        <v>0.013346843057272084</v>
      </c>
      <c r="P425" s="2">
        <f>LN(1+D425+E425+Inputs!$B$8/Inputs!$B$9)</f>
        <v>0.0022037945190435003</v>
      </c>
      <c r="Q425" s="2">
        <f>LN(1+E425+Inputs!$B$6/Inputs!$B$9)</f>
        <v>6.319758561287088e-05</v>
      </c>
    </row>
    <row r="426" spans="1:17">
      <c r="A426" s="3">
        <v>42986</v>
      </c>
      <c r="B426" t="s">
        <v>61</v>
      </c>
      <c r="C426" s="2">
        <v>0.01176406297261003</v>
      </c>
      <c r="D426" s="2">
        <v>-0.001821838632734979</v>
      </c>
      <c r="E426" s="2">
        <v>4.343736166445331E-05</v>
      </c>
      <c r="F426" s="2">
        <f>Inputs!$E$2*C426+Inputs!$F$2*D426</f>
        <v>0.008318147198447002</v>
      </c>
      <c r="G426" s="2">
        <f>Inputs!$E$3*C426+Inputs!$F$3*D426</f>
        <v>-0.005715425251065</v>
      </c>
      <c r="H426" s="2">
        <f>F426^2</f>
        <v>6.91915728150317e-05</v>
      </c>
      <c r="I426" s="2">
        <f>G426^2</f>
        <v>3.266608580051142e-05</v>
      </c>
      <c r="J426" s="2">
        <f>LN(1+F426+E426)</f>
        <v>0.008326820167770066</v>
      </c>
      <c r="K426" s="2">
        <f>LN(1+G426+E426)</f>
        <v>-0.00568813469799184</v>
      </c>
      <c r="L426" s="2">
        <f>LN(1+E426)</f>
        <v>4.3436418289135786e-05</v>
      </c>
      <c r="M426" s="2">
        <f>LN(1+C426+E426)</f>
        <v>0.011738335710719992</v>
      </c>
      <c r="N426" s="2">
        <f>LN(1+D426+E426)</f>
        <v>-0.0017799845039721746</v>
      </c>
      <c r="O426" s="2">
        <f>LN(1+C426+E426+Inputs!$B$7/Inputs!$B$9)</f>
        <v>0.011748140526638504</v>
      </c>
      <c r="P426" s="2">
        <f>LN(1+D426+E426+Inputs!$B$8/Inputs!$B$9)</f>
        <v>-0.0017799845039721746</v>
      </c>
      <c r="Q426" s="2">
        <f>LN(1+E426+Inputs!$B$6/Inputs!$B$9)</f>
        <v>6.327662949720115e-05</v>
      </c>
    </row>
    <row r="427" spans="1:17">
      <c r="A427" s="3">
        <v>42989</v>
      </c>
      <c r="B427" t="s">
        <v>61</v>
      </c>
      <c r="C427" s="2">
        <v>-0.004129638911054966</v>
      </c>
      <c r="D427" s="2">
        <v>-0.001115331086060566</v>
      </c>
      <c r="E427" s="2">
        <v>4.351641054828307E-05</v>
      </c>
      <c r="F427" s="2">
        <f>Inputs!$E$2*C427+Inputs!$F$2*D427</f>
        <v>-0.0039729097804806005</v>
      </c>
      <c r="G427" s="2">
        <f>Inputs!$E$3*C427+Inputs!$F$3*D427</f>
        <v>-9.950562995669982e-05</v>
      </c>
      <c r="H427" s="2">
        <f>F427^2</f>
        <v>1.5784012123838412e-05</v>
      </c>
      <c r="I427" s="2">
        <f>G427^2</f>
        <v>9.901370393079676e-09</v>
      </c>
      <c r="J427" s="2">
        <f>LN(1+F427+E427)</f>
        <v>-0.003937133719298916</v>
      </c>
      <c r="K427" s="2">
        <f>LN(1+G427+E427)</f>
        <v>-5.599078686359978e-05</v>
      </c>
      <c r="L427" s="2">
        <f>LN(1+E427)</f>
        <v>4.3515463736368986e-05</v>
      </c>
      <c r="M427" s="2">
        <f>LN(1+C427+E427)</f>
        <v>-0.004094493510147192</v>
      </c>
      <c r="N427" s="2">
        <f>LN(1+D427+E427)</f>
        <v>-0.0010723894796213307</v>
      </c>
      <c r="O427" s="2">
        <f>LN(1+C427+E427+Inputs!$B$7/Inputs!$B$9)</f>
        <v>-0.004084532221592297</v>
      </c>
      <c r="P427" s="2">
        <f>LN(1+D427+E427+Inputs!$B$8/Inputs!$B$9)</f>
        <v>-0.0010723894796213307</v>
      </c>
      <c r="Q427" s="2">
        <f>LN(1+E427+Inputs!$B$6/Inputs!$B$9)</f>
        <v>6.335567337617159e-05</v>
      </c>
    </row>
    <row r="428" spans="1:17">
      <c r="A428" s="3">
        <v>42990</v>
      </c>
      <c r="B428" t="s">
        <v>61</v>
      </c>
      <c r="C428" s="2">
        <v>-0.01599297868959598</v>
      </c>
      <c r="D428" s="2">
        <v>0.005324916109498343</v>
      </c>
      <c r="E428" s="2">
        <v>4.359545943211282E-05</v>
      </c>
      <c r="F428" s="2">
        <f>Inputs!$E$2*C428+Inputs!$F$2*D428</f>
        <v>-0.009599433285978</v>
      </c>
      <c r="G428" s="2">
        <f>Inputs!$E$3*C428+Inputs!$F$3*D428</f>
        <v>0.0111877929382764</v>
      </c>
      <c r="H428" s="2">
        <f>F428^2</f>
        <v>9.214911941194237e-05</v>
      </c>
      <c r="I428" s="2">
        <f>G428^2</f>
        <v>0.00012516671082974726</v>
      </c>
      <c r="J428" s="2">
        <f>LN(1+F428+E428)</f>
        <v>-0.009601787806164941</v>
      </c>
      <c r="K428" s="2">
        <f>LN(1+G428+E428)</f>
        <v>0.011168784670106778</v>
      </c>
      <c r="L428" s="2">
        <f>LN(1+E428)</f>
        <v>4.3594509177576035e-05</v>
      </c>
      <c r="M428" s="2">
        <f>LN(1+C428+E428)</f>
        <v>-0.016077943446121255</v>
      </c>
      <c r="N428" s="2">
        <f>LN(1+D428+E428)</f>
        <v>0.005354152479064802</v>
      </c>
      <c r="O428" s="2">
        <f>LN(1+C428+E428+Inputs!$B$7/Inputs!$B$9)</f>
        <v>-0.016067862069467594</v>
      </c>
      <c r="P428" s="2">
        <f>LN(1+D428+E428+Inputs!$B$8/Inputs!$B$9)</f>
        <v>0.005354152479064802</v>
      </c>
      <c r="Q428" s="2">
        <f>LN(1+E428+Inputs!$B$6/Inputs!$B$9)</f>
        <v>6.343471724911614e-05</v>
      </c>
    </row>
    <row r="429" spans="1:17">
      <c r="A429" s="3">
        <v>42991</v>
      </c>
      <c r="B429" t="s">
        <v>61</v>
      </c>
      <c r="C429" s="2">
        <v>0.009134710286283577</v>
      </c>
      <c r="D429" s="2">
        <v>0.006555678289412684</v>
      </c>
      <c r="E429" s="2">
        <v>4.367450831594258E-05</v>
      </c>
      <c r="F429" s="2">
        <f>Inputs!$E$2*C429+Inputs!$F$2*D429</f>
        <v>0.011241175202675</v>
      </c>
      <c r="G429" s="2">
        <f>Inputs!$E$3*C429+Inputs!$F$3*D429</f>
        <v>0.005126400861410399</v>
      </c>
      <c r="H429" s="2">
        <f>F429^2</f>
        <v>0.00012636401993723536</v>
      </c>
      <c r="I429" s="2">
        <f>G429^2</f>
        <v>2.6279985791869284e-05</v>
      </c>
      <c r="J429" s="2">
        <f>LN(1+F429+E429)</f>
        <v>0.011221650810103963</v>
      </c>
      <c r="K429" s="2">
        <f>LN(1+G429+E429)</f>
        <v>0.005156756416997835</v>
      </c>
      <c r="L429" s="2">
        <f>LN(1+E429)</f>
        <v>4.367355461253491e-05</v>
      </c>
      <c r="M429" s="2">
        <f>LN(1+C429+E429)</f>
        <v>0.009136519397050449</v>
      </c>
      <c r="N429" s="2">
        <f>LN(1+D429+E429)</f>
        <v>0.006577672401172627</v>
      </c>
      <c r="O429" s="2">
        <f>LN(1+C429+E429+Inputs!$B$7/Inputs!$B$9)</f>
        <v>0.009146349756388818</v>
      </c>
      <c r="P429" s="2">
        <f>LN(1+D429+E429+Inputs!$B$8/Inputs!$B$9)</f>
        <v>0.006577672401172627</v>
      </c>
      <c r="Q429" s="2">
        <f>LN(1+E429+Inputs!$B$6/Inputs!$B$9)</f>
        <v>6.351376111581275e-05</v>
      </c>
    </row>
    <row r="430" spans="1:17">
      <c r="A430" s="3">
        <v>42992</v>
      </c>
      <c r="B430" t="s">
        <v>61</v>
      </c>
      <c r="C430" s="2">
        <v>0.006536573113371685</v>
      </c>
      <c r="D430" s="2">
        <v>0.007862921268343677</v>
      </c>
      <c r="E430" s="2">
        <v>4.375355719977234E-05</v>
      </c>
      <c r="F430" s="2">
        <f>Inputs!$E$2*C430+Inputs!$F$2*D430</f>
        <v>0.009947011251704</v>
      </c>
      <c r="G430" s="2">
        <f>Inputs!$E$3*C430+Inputs!$F$3*D430</f>
        <v>0.0074745335880012</v>
      </c>
      <c r="H430" s="2">
        <f>F430^2</f>
        <v>9.894303284152597e-05</v>
      </c>
      <c r="I430" s="2">
        <f>G430^2</f>
        <v>5.5868652358158095e-05</v>
      </c>
      <c r="J430" s="2">
        <f>LN(1+F430+E430)</f>
        <v>0.009941187057803247</v>
      </c>
      <c r="K430" s="2">
        <f>LN(1+G430+E430)</f>
        <v>0.007490165686579896</v>
      </c>
      <c r="L430" s="2">
        <f>LN(1+E430)</f>
        <v>4.375260004102356e-05</v>
      </c>
      <c r="M430" s="2">
        <f>LN(1+C430+E430)</f>
        <v>0.006558770832324398</v>
      </c>
      <c r="N430" s="2">
        <f>LN(1+D430+E430)</f>
        <v>0.007875580864499462</v>
      </c>
      <c r="O430" s="2">
        <f>LN(1+C430+E430+Inputs!$B$7/Inputs!$B$9)</f>
        <v>0.006568626564420815</v>
      </c>
      <c r="P430" s="2">
        <f>LN(1+D430+E430+Inputs!$B$8/Inputs!$B$9)</f>
        <v>0.007875580864499462</v>
      </c>
      <c r="Q430" s="2">
        <f>LN(1+E430+Inputs!$B$6/Inputs!$B$9)</f>
        <v>6.35928049760394e-05</v>
      </c>
    </row>
    <row r="431" spans="1:17">
      <c r="A431" s="3">
        <v>42993</v>
      </c>
      <c r="B431" t="s">
        <v>61</v>
      </c>
      <c r="C431" s="2">
        <v>0.02394550762214391</v>
      </c>
      <c r="D431" s="2">
        <v>-0.003509662766237087</v>
      </c>
      <c r="E431" s="2">
        <v>4.383260608360211E-05</v>
      </c>
      <c r="F431" s="2">
        <f>Inputs!$E$2*C431+Inputs!$F$2*D431</f>
        <v>0.017050608437973</v>
      </c>
      <c r="G431" s="2">
        <f>Inputs!$E$3*C431+Inputs!$F$3*D431</f>
        <v>-0.0113952476061276</v>
      </c>
      <c r="H431" s="2">
        <f>F431^2</f>
        <v>0.0002907232481050761</v>
      </c>
      <c r="I431" s="2">
        <f>G431^2</f>
        <v>0.0001298516680049568</v>
      </c>
      <c r="J431" s="2">
        <f>LN(1+F431+E431)</f>
        <v>0.016949975138515542</v>
      </c>
      <c r="K431" s="2">
        <f>LN(1+G431+E431)</f>
        <v>-0.011416334060993362</v>
      </c>
      <c r="L431" s="2">
        <f>LN(1+E431)</f>
        <v>4.3831645463486067e-05</v>
      </c>
      <c r="M431" s="2">
        <f>LN(1+C431+E431)</f>
        <v>0.023706116629761288</v>
      </c>
      <c r="N431" s="2">
        <f>LN(1+D431+E431)</f>
        <v>-0.003471850062834084</v>
      </c>
      <c r="O431" s="2">
        <f>LN(1+C431+E431+Inputs!$B$7/Inputs!$B$9)</f>
        <v>0.023715804803724226</v>
      </c>
      <c r="P431" s="2">
        <f>LN(1+D431+E431+Inputs!$B$8/Inputs!$B$9)</f>
        <v>-0.003471850062834084</v>
      </c>
      <c r="Q431" s="2">
        <f>LN(1+E431+Inputs!$B$6/Inputs!$B$9)</f>
        <v>6.367184883024014e-05</v>
      </c>
    </row>
    <row r="432" spans="1:17">
      <c r="A432" s="3">
        <v>42996</v>
      </c>
      <c r="B432" t="s">
        <v>61</v>
      </c>
      <c r="C432" s="2">
        <v>0.01708661597344953</v>
      </c>
      <c r="D432" s="2">
        <v>-0.00260250394762173</v>
      </c>
      <c r="E432" s="2">
        <v>4.391165496743187E-05</v>
      </c>
      <c r="F432" s="2">
        <f>Inputs!$E$2*C432+Inputs!$F$2*D432</f>
        <v>0.012107790410186801</v>
      </c>
      <c r="G432" s="2">
        <f>Inputs!$E$3*C432+Inputs!$F$3*D432</f>
        <v>-0.0082489895291814</v>
      </c>
      <c r="H432" s="2">
        <f>F432^2</f>
        <v>0.00014659858861701148</v>
      </c>
      <c r="I432" s="2">
        <f>G432^2</f>
        <v>6.804582825254438e-05</v>
      </c>
      <c r="J432" s="2">
        <f>LN(1+F432+E432)</f>
        <v>0.012078462857344426</v>
      </c>
      <c r="K432" s="2">
        <f>LN(1+G432+E432)</f>
        <v>-0.008238924797252243</v>
      </c>
      <c r="L432" s="2">
        <f>LN(1+E432)</f>
        <v>4.391069087859022e-05</v>
      </c>
      <c r="M432" s="2">
        <f>LN(1+C432+E432)</f>
        <v>0.016985454581467604</v>
      </c>
      <c r="N432" s="2">
        <f>LN(1+D432+E432)</f>
        <v>-0.00256187108383565</v>
      </c>
      <c r="O432" s="2">
        <f>LN(1+C432+E432+Inputs!$B$7/Inputs!$B$9)</f>
        <v>0.01699520808534031</v>
      </c>
      <c r="P432" s="2">
        <f>LN(1+D432+E432+Inputs!$B$8/Inputs!$B$9)</f>
        <v>-0.00256187108383565</v>
      </c>
      <c r="Q432" s="2">
        <f>LN(1+E432+Inputs!$B$6/Inputs!$B$9)</f>
        <v>6.375089267708281e-05</v>
      </c>
    </row>
    <row r="433" spans="1:17">
      <c r="A433" s="3">
        <v>42997</v>
      </c>
      <c r="B433" t="s">
        <v>61</v>
      </c>
      <c r="C433" s="2">
        <v>0.009844735746832312</v>
      </c>
      <c r="D433" s="2">
        <v>0.004267311120973485</v>
      </c>
      <c r="E433" s="2">
        <v>4.399070385126163E-05</v>
      </c>
      <c r="F433" s="2">
        <f>Inputs!$E$2*C433+Inputs!$F$2*D433</f>
        <v>0.010436175270049398</v>
      </c>
      <c r="G433" s="2">
        <f>Inputs!$E$3*C433+Inputs!$F$3*D433</f>
        <v>0.002167352621118</v>
      </c>
      <c r="H433" s="2">
        <f>F433^2</f>
        <v>0.00010891375426719064</v>
      </c>
      <c r="I433" s="2">
        <f>G433^2</f>
        <v>4.697417384267064e-06</v>
      </c>
      <c r="J433" s="2">
        <f>LN(1+F433+E433)</f>
        <v>0.010425629736103155</v>
      </c>
      <c r="K433" s="2">
        <f>LN(1+G433+E433)</f>
        <v>0.002208901903869444</v>
      </c>
      <c r="L433" s="2">
        <f>LN(1+E433)</f>
        <v>4.398973628833434e-05</v>
      </c>
      <c r="M433" s="2">
        <f>LN(1+C433+E433)</f>
        <v>0.009840152952799252</v>
      </c>
      <c r="N433" s="2">
        <f>LN(1+D433+E433)</f>
        <v>0.004302034788890098</v>
      </c>
      <c r="O433" s="2">
        <f>LN(1+C433+E433+Inputs!$B$7/Inputs!$B$9)</f>
        <v>0.009849976397633823</v>
      </c>
      <c r="P433" s="2">
        <f>LN(1+D433+E433+Inputs!$B$8/Inputs!$B$9)</f>
        <v>0.004302034788890098</v>
      </c>
      <c r="Q433" s="2">
        <f>LN(1+E433+Inputs!$B$6/Inputs!$B$9)</f>
        <v>6.382993651856566e-05</v>
      </c>
    </row>
    <row r="434" spans="1:17">
      <c r="A434" s="3">
        <v>42998</v>
      </c>
      <c r="B434" t="s">
        <v>61</v>
      </c>
      <c r="C434" s="2">
        <v>0.02060947466250462</v>
      </c>
      <c r="D434" s="2">
        <v>0.004752317155724681</v>
      </c>
      <c r="E434" s="2">
        <v>4.406975273509139E-05</v>
      </c>
      <c r="F434" s="2">
        <f>Inputs!$E$2*C434+Inputs!$F$2*D434</f>
        <v>0.019338970023439</v>
      </c>
      <c r="G434" s="2">
        <f>Inputs!$E$3*C434+Inputs!$F$3*D434</f>
        <v>-0.0004800618118814999</v>
      </c>
      <c r="H434" s="2">
        <f>F434^2</f>
        <v>0.0003739957615674723</v>
      </c>
      <c r="I434" s="2">
        <f>G434^2</f>
        <v>2.304593432269486e-07</v>
      </c>
      <c r="J434" s="2">
        <f>LN(1+F434+E434)</f>
        <v>0.01919758132824317</v>
      </c>
      <c r="K434" s="2">
        <f>LN(1+G434+E434)</f>
        <v>-0.0004360871313192046</v>
      </c>
      <c r="L434" s="2">
        <f>LN(1+E434)</f>
        <v>4.406878169205232e-05</v>
      </c>
      <c r="M434" s="2">
        <f>LN(1+C434+E434)</f>
        <v>0.020443151935330594</v>
      </c>
      <c r="N434" s="2">
        <f>LN(1+D434+E434)</f>
        <v>0.004784920893783774</v>
      </c>
      <c r="O434" s="2">
        <f>LN(1+C434+E434+Inputs!$B$7/Inputs!$B$9)</f>
        <v>0.020452871772940084</v>
      </c>
      <c r="P434" s="2">
        <f>LN(1+D434+E434+Inputs!$B$8/Inputs!$B$9)</f>
        <v>0.004784920893783774</v>
      </c>
      <c r="Q434" s="2">
        <f>LN(1+E434+Inputs!$B$6/Inputs!$B$9)</f>
        <v>6.390898035402262e-05</v>
      </c>
    </row>
    <row r="435" spans="1:17">
      <c r="A435" s="3">
        <v>42999</v>
      </c>
      <c r="B435" t="s">
        <v>61</v>
      </c>
      <c r="C435" s="2">
        <v>-0.01325342729272656</v>
      </c>
      <c r="D435" s="2">
        <v>-0.01006186162632218</v>
      </c>
      <c r="E435" s="2">
        <v>4.414880161892115E-05</v>
      </c>
      <c r="F435" s="2">
        <f>Inputs!$E$2*C435+Inputs!$F$2*D435</f>
        <v>-0.0166398588099748</v>
      </c>
      <c r="G435" s="2">
        <f>Inputs!$E$3*C435+Inputs!$F$3*D435</f>
        <v>-0.0080982057637683</v>
      </c>
      <c r="H435" s="2">
        <f>F435^2</f>
        <v>0.00027688490121589594</v>
      </c>
      <c r="I435" s="2">
        <f>G435^2</f>
        <v>6.55809365923301e-05</v>
      </c>
      <c r="J435" s="2">
        <f>LN(1+F435+E435)</f>
        <v>-0.01673496160620279</v>
      </c>
      <c r="K435" s="2">
        <f>LN(1+G435+E435)</f>
        <v>-0.008086666087449046</v>
      </c>
      <c r="L435" s="2">
        <f>LN(1+E435)</f>
        <v>4.4147827089300087e-05</v>
      </c>
      <c r="M435" s="2">
        <f>LN(1+C435+E435)</f>
        <v>-0.01329729697664089</v>
      </c>
      <c r="N435" s="2">
        <f>LN(1+D435+E435)</f>
        <v>-0.010068227755684795</v>
      </c>
      <c r="O435" s="2">
        <f>LN(1+C435+E435+Inputs!$B$7/Inputs!$B$9)</f>
        <v>-0.013287243593652437</v>
      </c>
      <c r="P435" s="2">
        <f>LN(1+D435+E435+Inputs!$B$8/Inputs!$B$9)</f>
        <v>-0.010068227755684795</v>
      </c>
      <c r="Q435" s="2">
        <f>LN(1+E435+Inputs!$B$6/Inputs!$B$9)</f>
        <v>6.398802418300962e-05</v>
      </c>
    </row>
    <row r="436" spans="1:17">
      <c r="A436" s="3">
        <v>43000</v>
      </c>
      <c r="B436" t="s">
        <v>61</v>
      </c>
      <c r="C436" s="2">
        <v>0.002787310507148399</v>
      </c>
      <c r="D436" s="2">
        <v>0.01169432535266216</v>
      </c>
      <c r="E436" s="2">
        <v>4.422785050275091E-05</v>
      </c>
      <c r="F436" s="2">
        <f>Inputs!$E$2*C436+Inputs!$F$2*D436</f>
        <v>0.009246443617315601</v>
      </c>
      <c r="G436" s="2">
        <f>Inputs!$E$3*C436+Inputs!$F$3*D436</f>
        <v>0.01319699727105</v>
      </c>
      <c r="H436" s="2">
        <f>F436^2</f>
        <v>8.549671956819642e-05</v>
      </c>
      <c r="I436" s="2">
        <f>G436^2</f>
        <v>0.00017416073697210116</v>
      </c>
      <c r="J436" s="2">
        <f>LN(1+F436+E436)</f>
        <v>0.009247778643741461</v>
      </c>
      <c r="K436" s="2">
        <f>LN(1+G436+E436)</f>
        <v>0.013154326357079783</v>
      </c>
      <c r="L436" s="2">
        <f>LN(1+E436)</f>
        <v>4.4226872480521715e-05</v>
      </c>
      <c r="M436" s="2">
        <f>LN(1+C436+E436)</f>
        <v>0.002827537104271115</v>
      </c>
      <c r="N436" s="2">
        <f>LN(1+D436+E436)</f>
        <v>0.011670190850843951</v>
      </c>
      <c r="O436" s="2">
        <f>LN(1+C436+E436+Inputs!$B$7/Inputs!$B$9)</f>
        <v>0.002837429678916988</v>
      </c>
      <c r="P436" s="2">
        <f>LN(1+D436+E436+Inputs!$B$8/Inputs!$B$9)</f>
        <v>0.011670190850843951</v>
      </c>
      <c r="Q436" s="2">
        <f>LN(1+E436+Inputs!$B$6/Inputs!$B$9)</f>
        <v>6.406706800597074e-05</v>
      </c>
    </row>
    <row r="437" spans="1:17">
      <c r="A437" s="3">
        <v>43003</v>
      </c>
      <c r="B437" t="s">
        <v>61</v>
      </c>
      <c r="C437" s="2">
        <v>-0.003108972000007534</v>
      </c>
      <c r="D437" s="2">
        <v>0.00744763681705423</v>
      </c>
      <c r="E437" s="2">
        <v>4.430689938658067E-05</v>
      </c>
      <c r="F437" s="2">
        <f>Inputs!$E$2*C437+Inputs!$F$2*D437</f>
        <v>0.001981404490225999</v>
      </c>
      <c r="G437" s="2">
        <f>Inputs!$E$3*C437+Inputs!$F$3*D437</f>
        <v>0.009869855780467198</v>
      </c>
      <c r="H437" s="2">
        <f>F437^2</f>
        <v>3.925963753887751e-06</v>
      </c>
      <c r="I437" s="2">
        <f>G437^2</f>
        <v>9.741405312722176e-05</v>
      </c>
      <c r="J437" s="2">
        <f>LN(1+F437+E437)</f>
        <v>0.0020236624029330956</v>
      </c>
      <c r="K437" s="2">
        <f>LN(1+G437+E437)</f>
        <v>0.00986533979584161</v>
      </c>
      <c r="L437" s="2">
        <f>LN(1+E437)</f>
        <v>4.4305917865273136e-05</v>
      </c>
      <c r="M437" s="2">
        <f>LN(1+C437+E437)</f>
        <v>-0.0030693708034387683</v>
      </c>
      <c r="N437" s="2">
        <f>LN(1+D437+E437)</f>
        <v>0.0074640184955054225</v>
      </c>
      <c r="O437" s="2">
        <f>LN(1+C437+E437+Inputs!$B$7/Inputs!$B$9)</f>
        <v>-0.003059419721143923</v>
      </c>
      <c r="P437" s="2">
        <f>LN(1+D437+E437+Inputs!$B$8/Inputs!$B$9)</f>
        <v>0.0074640184955054225</v>
      </c>
      <c r="Q437" s="2">
        <f>LN(1+E437+Inputs!$B$6/Inputs!$B$9)</f>
        <v>6.414611182246189e-05</v>
      </c>
    </row>
    <row r="438" spans="1:17">
      <c r="A438" s="3">
        <v>43004</v>
      </c>
      <c r="B438" t="s">
        <v>61</v>
      </c>
      <c r="C438" s="2">
        <v>0.0210881779258307</v>
      </c>
      <c r="D438" s="2">
        <v>-0.008522738584698932</v>
      </c>
      <c r="E438" s="2">
        <v>4.438594827041043E-05</v>
      </c>
      <c r="F438" s="2">
        <f>Inputs!$E$2*C438+Inputs!$F$2*D438</f>
        <v>0.011756899189845401</v>
      </c>
      <c r="G438" s="2">
        <f>Inputs!$E$3*C438+Inputs!$F$3*D438</f>
        <v>-0.0165537396793881</v>
      </c>
      <c r="H438" s="2">
        <f>F438^2</f>
        <v>0.00013822467856018745</v>
      </c>
      <c r="I438" s="2">
        <f>G438^2</f>
        <v>0.000274026297372948</v>
      </c>
      <c r="J438" s="2">
        <f>LN(1+F438+E438)</f>
        <v>0.011732193025233291</v>
      </c>
      <c r="K438" s="2">
        <f>LN(1+G438+E438)</f>
        <v>-0.01664715185520774</v>
      </c>
      <c r="L438" s="2">
        <f>LN(1+E438)</f>
        <v>4.4384963242888244e-05</v>
      </c>
      <c r="M438" s="2">
        <f>LN(1+C438+E438)</f>
        <v>0.020912368045387056</v>
      </c>
      <c r="N438" s="2">
        <f>LN(1+D438+E438)</f>
        <v>-0.008514498317030031</v>
      </c>
      <c r="O438" s="2">
        <f>LN(1+C438+E438+Inputs!$B$7/Inputs!$B$9)</f>
        <v>0.020922083323384112</v>
      </c>
      <c r="P438" s="2">
        <f>LN(1+D438+E438+Inputs!$B$8/Inputs!$B$9)</f>
        <v>-0.008514498317030031</v>
      </c>
      <c r="Q438" s="2">
        <f>LN(1+E438+Inputs!$B$6/Inputs!$B$9)</f>
        <v>6.422515563181699e-05</v>
      </c>
    </row>
    <row r="439" spans="1:17">
      <c r="A439" s="3">
        <v>43005</v>
      </c>
      <c r="B439" t="s">
        <v>61</v>
      </c>
      <c r="C439" s="2">
        <v>0.007573653521763425</v>
      </c>
      <c r="D439" s="2">
        <v>0.007749141543179727</v>
      </c>
      <c r="E439" s="2">
        <v>4.446499715424019E-05</v>
      </c>
      <c r="F439" s="2">
        <f>Inputs!$E$2*C439+Inputs!$F$2*D439</f>
        <v>0.0107084077433184</v>
      </c>
      <c r="G439" s="2">
        <f>Inputs!$E$3*C439+Inputs!$F$3*D439</f>
        <v>0.0070268737952871</v>
      </c>
      <c r="H439" s="2">
        <f>F439^2</f>
        <v>0.00011466999639716146</v>
      </c>
      <c r="I439" s="2">
        <f>G439^2</f>
        <v>4.9376955334892536e-05</v>
      </c>
      <c r="J439" s="2">
        <f>LN(1+F439+E439)</f>
        <v>0.010695471721666776</v>
      </c>
      <c r="K439" s="2">
        <f>LN(1+G439+E439)</f>
        <v>0.007046454119381732</v>
      </c>
      <c r="L439" s="2">
        <f>LN(1+E439)</f>
        <v>4.446400861536535e-05</v>
      </c>
      <c r="M439" s="2">
        <f>LN(1+C439+E439)</f>
        <v>0.007589247191451733</v>
      </c>
      <c r="N439" s="2">
        <f>LN(1+D439+E439)</f>
        <v>0.007763393267589533</v>
      </c>
      <c r="O439" s="2">
        <f>LN(1+C439+E439+Inputs!$B$7/Inputs!$B$9)</f>
        <v>0.007599092772730206</v>
      </c>
      <c r="P439" s="2">
        <f>LN(1+D439+E439+Inputs!$B$8/Inputs!$B$9)</f>
        <v>0.007763393267589533</v>
      </c>
      <c r="Q439" s="2">
        <f>LN(1+E439+Inputs!$B$6/Inputs!$B$9)</f>
        <v>6.430419943603432e-05</v>
      </c>
    </row>
    <row r="440" spans="1:17">
      <c r="A440" s="3">
        <v>43006</v>
      </c>
      <c r="B440" t="s">
        <v>61</v>
      </c>
      <c r="C440" s="2">
        <v>-0.03796090438038894</v>
      </c>
      <c r="D440" s="2">
        <v>-0.003078448200717073</v>
      </c>
      <c r="E440" s="2">
        <v>4.454404603806995E-05</v>
      </c>
      <c r="F440" s="2">
        <f>Inputs!$E$2*C440+Inputs!$F$2*D440</f>
        <v>-0.0322157924247414</v>
      </c>
      <c r="G440" s="2">
        <f>Inputs!$E$3*C440+Inputs!$F$3*D440</f>
        <v>0.0076941334732563</v>
      </c>
      <c r="H440" s="2">
        <f>F440^2</f>
        <v>0.0010378572815540254</v>
      </c>
      <c r="I440" s="2">
        <f>G440^2</f>
        <v>5.9199689904283055e-05</v>
      </c>
      <c r="J440" s="2">
        <f>LN(1+F440+E440)</f>
        <v>-0.032700116838019835</v>
      </c>
      <c r="K440" s="2">
        <f>LN(1+G440+E440)</f>
        <v>0.007708887545713587</v>
      </c>
      <c r="L440" s="2">
        <f>LN(1+E440)</f>
        <v>4.454305398137226e-05</v>
      </c>
      <c r="M440" s="2">
        <f>LN(1+C440+E440)</f>
        <v>-0.0386538885764136</v>
      </c>
      <c r="N440" s="2">
        <f>LN(1+D440+E440)</f>
        <v>-0.003038515771720302</v>
      </c>
      <c r="O440" s="2">
        <f>LN(1+C440+E440+Inputs!$B$7/Inputs!$B$9)</f>
        <v>-0.03864357701579337</v>
      </c>
      <c r="P440" s="2">
        <f>LN(1+D440+E440+Inputs!$B$8/Inputs!$B$9)</f>
        <v>-0.003038515771720302</v>
      </c>
      <c r="Q440" s="2">
        <f>LN(1+E440+Inputs!$B$6/Inputs!$B$9)</f>
        <v>6.43832432337817e-05</v>
      </c>
    </row>
    <row r="441" spans="1:17">
      <c r="A441" s="3">
        <v>43007</v>
      </c>
      <c r="B441" t="s">
        <v>61</v>
      </c>
      <c r="C441" s="2">
        <v>0.02244434222274898</v>
      </c>
      <c r="D441" s="2">
        <v>-0.000976713256999091</v>
      </c>
      <c r="E441" s="2">
        <v>4.462309492189971E-05</v>
      </c>
      <c r="F441" s="2">
        <f>Inputs!$E$2*C441+Inputs!$F$2*D441</f>
        <v>0.0173694458239998</v>
      </c>
      <c r="G441" s="2">
        <f>Inputs!$E$3*C441+Inputs!$F$3*D441</f>
        <v>-0.0079053585752235</v>
      </c>
      <c r="H441" s="2">
        <f>F441^2</f>
        <v>0.00030169764823286406</v>
      </c>
      <c r="I441" s="2">
        <f>G441^2</f>
        <v>6.249469420285974e-05</v>
      </c>
      <c r="J441" s="2">
        <f>LN(1+F441+E441)</f>
        <v>0.01726418161730819</v>
      </c>
      <c r="K441" s="2">
        <f>LN(1+G441+E441)</f>
        <v>-0.007891793930020196</v>
      </c>
      <c r="L441" s="2">
        <f>LN(1+E441)</f>
        <v>4.462209934135303e-05</v>
      </c>
      <c r="M441" s="2">
        <f>LN(1+C441+E441)</f>
        <v>0.0222398170112287</v>
      </c>
      <c r="N441" s="2">
        <f>LN(1+D441+E441)</f>
        <v>-0.0009325248282317678</v>
      </c>
      <c r="O441" s="2">
        <f>LN(1+C441+E441+Inputs!$B$7/Inputs!$B$9)</f>
        <v>0.022249519401308506</v>
      </c>
      <c r="P441" s="2">
        <f>LN(1+D441+E441+Inputs!$B$8/Inputs!$B$9)</f>
        <v>-0.0009325248282317678</v>
      </c>
      <c r="Q441" s="2">
        <f>LN(1+E441+Inputs!$B$6/Inputs!$B$9)</f>
        <v>6.446228702550319e-05</v>
      </c>
    </row>
    <row r="442" spans="1:17">
      <c r="A442" s="3">
        <v>43010</v>
      </c>
      <c r="B442" t="s">
        <v>62</v>
      </c>
      <c r="C442" s="2">
        <v>-0.01476348420535605</v>
      </c>
      <c r="D442" s="2">
        <v>-0.006486208501946062</v>
      </c>
      <c r="E442" s="2">
        <v>4.470214380572947E-05</v>
      </c>
      <c r="F442" s="2">
        <f>Inputs!$E$2*C442+Inputs!$F$2*D442</f>
        <v>-0.0157025124654524</v>
      </c>
      <c r="G442" s="2">
        <f>Inputs!$E$3*C442+Inputs!$F$3*D442</f>
        <v>-0.0033544049407283998</v>
      </c>
      <c r="H442" s="2">
        <f>F442^2</f>
        <v>0.00024656889772768805</v>
      </c>
      <c r="I442" s="2">
        <f>G442^2</f>
        <v>1.1252032506383099e-05</v>
      </c>
      <c r="J442" s="2">
        <f>LN(1+F442+E442)</f>
        <v>-0.01578168864403597</v>
      </c>
      <c r="K442" s="2">
        <f>LN(1+G442+E442)</f>
        <v>-0.0033151919782766514</v>
      </c>
      <c r="L442" s="2">
        <f>LN(1+E442)</f>
        <v>4.47011446948636e-05</v>
      </c>
      <c r="M442" s="2">
        <f>LN(1+C442+E442)</f>
        <v>-0.014828178112417888</v>
      </c>
      <c r="N442" s="2">
        <f>LN(1+D442+E442)</f>
        <v>-0.006462342385351708</v>
      </c>
      <c r="O442" s="2">
        <f>LN(1+C442+E442+Inputs!$B$7/Inputs!$B$9)</f>
        <v>-0.014818109327186057</v>
      </c>
      <c r="P442" s="2">
        <f>LN(1+D442+E442+Inputs!$B$8/Inputs!$B$9)</f>
        <v>-0.006462342385351708</v>
      </c>
      <c r="Q442" s="2">
        <f>LN(1+E442+Inputs!$B$6/Inputs!$B$9)</f>
        <v>6.454133081075473e-05</v>
      </c>
    </row>
    <row r="443" spans="1:17">
      <c r="A443" s="3">
        <v>43011</v>
      </c>
      <c r="B443" t="s">
        <v>62</v>
      </c>
      <c r="C443" s="2">
        <v>0.01318077590271541</v>
      </c>
      <c r="D443" s="2">
        <v>-0.005440064824894012</v>
      </c>
      <c r="E443" s="2">
        <v>4.478119268955923E-05</v>
      </c>
      <c r="F443" s="2">
        <f>Inputs!$E$2*C443+Inputs!$F$2*D443</f>
        <v>0.007280581827235601</v>
      </c>
      <c r="G443" s="2">
        <f>Inputs!$E$3*C443+Inputs!$F$3*D443</f>
        <v>-0.0104823105606873</v>
      </c>
      <c r="H443" s="2">
        <f>F443^2</f>
        <v>5.3006871743073276e-05</v>
      </c>
      <c r="I443" s="2">
        <f>G443^2</f>
        <v>0.0001098788346906965</v>
      </c>
      <c r="J443" s="2">
        <f>LN(1+F443+E443)</f>
        <v>0.00729866286118779</v>
      </c>
      <c r="K443" s="2">
        <f>LN(1+G443+E443)</f>
        <v>-0.010492382398243403</v>
      </c>
      <c r="L443" s="2">
        <f>LN(1+E443)</f>
        <v>4.478019004234803e-05</v>
      </c>
      <c r="M443" s="2">
        <f>LN(1+C443+E443)</f>
        <v>0.013138862964059125</v>
      </c>
      <c r="N443" s="2">
        <f>LN(1+D443+E443)</f>
        <v>-0.005409890738283918</v>
      </c>
      <c r="O443" s="2">
        <f>LN(1+C443+E443+Inputs!$B$7/Inputs!$B$9)</f>
        <v>0.01314865405774438</v>
      </c>
      <c r="P443" s="2">
        <f>LN(1+D443+E443+Inputs!$B$8/Inputs!$B$9)</f>
        <v>-0.005409890738283918</v>
      </c>
      <c r="Q443" s="2">
        <f>LN(1+E443+Inputs!$B$6/Inputs!$B$9)</f>
        <v>6.462037458998037e-05</v>
      </c>
    </row>
    <row r="444" spans="1:17">
      <c r="A444" s="3">
        <v>43012</v>
      </c>
      <c r="B444" t="s">
        <v>62</v>
      </c>
      <c r="C444" s="2">
        <v>-0.007378268818714539</v>
      </c>
      <c r="D444" s="2">
        <v>-0.002588703575588134</v>
      </c>
      <c r="E444" s="2">
        <v>4.486024157338899E-05</v>
      </c>
      <c r="F444" s="2">
        <f>Inputs!$E$2*C444+Inputs!$F$2*D444</f>
        <v>-0.0074558372003248</v>
      </c>
      <c r="G444" s="2">
        <f>Inputs!$E$3*C444+Inputs!$F$3*D444</f>
        <v>-0.0008929636450911</v>
      </c>
      <c r="H444" s="2">
        <f>F444^2</f>
        <v>5.558950835774715e-05</v>
      </c>
      <c r="I444" s="2">
        <f>G444^2</f>
        <v>7.97384071454384e-07</v>
      </c>
      <c r="J444" s="2">
        <f>LN(1+F444+E444)</f>
        <v>-0.007438574683771661</v>
      </c>
      <c r="K444" s="2">
        <f>LN(1+G444+E444)</f>
        <v>-0.0008484632466800969</v>
      </c>
      <c r="L444" s="2">
        <f>LN(1+E444)</f>
        <v>4.4859235382474124e-05</v>
      </c>
      <c r="M444" s="2">
        <f>LN(1+C444+E444)</f>
        <v>-0.007360430205968187</v>
      </c>
      <c r="N444" s="2">
        <f>LN(1+D444+E444)</f>
        <v>-0.0025470844011471526</v>
      </c>
      <c r="O444" s="2">
        <f>LN(1+C444+E444+Inputs!$B$7/Inputs!$B$9)</f>
        <v>-0.007350436331455154</v>
      </c>
      <c r="P444" s="2">
        <f>LN(1+D444+E444+Inputs!$B$8/Inputs!$B$9)</f>
        <v>-0.0025470844011471526</v>
      </c>
      <c r="Q444" s="2">
        <f>LN(1+E444+Inputs!$B$6/Inputs!$B$9)</f>
        <v>6.469941836184796e-05</v>
      </c>
    </row>
    <row r="445" spans="1:17">
      <c r="A445" s="3">
        <v>43013</v>
      </c>
      <c r="B445" t="s">
        <v>62</v>
      </c>
      <c r="C445" s="2">
        <v>0.004213167631260321</v>
      </c>
      <c r="D445" s="2">
        <v>0.0004785311163790679</v>
      </c>
      <c r="E445" s="2">
        <v>4.493929045721875E-05</v>
      </c>
      <c r="F445" s="2">
        <f>Inputs!$E$2*C445+Inputs!$F$2*D445</f>
        <v>0.0036576527748354002</v>
      </c>
      <c r="G445" s="2">
        <f>Inputs!$E$3*C445+Inputs!$F$3*D445</f>
        <v>-0.0006897129497232001</v>
      </c>
      <c r="H445" s="2">
        <f>F445^2</f>
        <v>1.3378423821261103e-05</v>
      </c>
      <c r="I445" s="2">
        <f>G445^2</f>
        <v>4.757039530158776e-07</v>
      </c>
      <c r="J445" s="2">
        <f>LN(1+F445+E445)</f>
        <v>0.0036957543442880983</v>
      </c>
      <c r="K445" s="2">
        <f>LN(1+G445+E445)</f>
        <v>-0.0006449816151965018</v>
      </c>
      <c r="L445" s="2">
        <f>LN(1+E445)</f>
        <v>4.493828071724019e-05</v>
      </c>
      <c r="M445" s="2">
        <f>LN(1+C445+E445)</f>
        <v>0.004249066837782348</v>
      </c>
      <c r="N445" s="2">
        <f>LN(1+D445+E445)</f>
        <v>0.0005233334439978071</v>
      </c>
      <c r="O445" s="2">
        <f>LN(1+C445+E445+Inputs!$B$7/Inputs!$B$9)</f>
        <v>0.004258945359899089</v>
      </c>
      <c r="P445" s="2">
        <f>LN(1+D445+E445+Inputs!$B$8/Inputs!$B$9)</f>
        <v>0.0005233334439978071</v>
      </c>
      <c r="Q445" s="2">
        <f>LN(1+E445+Inputs!$B$6/Inputs!$B$9)</f>
        <v>6.477846212835573e-05</v>
      </c>
    </row>
    <row r="446" spans="1:17">
      <c r="A446" s="3">
        <v>43014</v>
      </c>
      <c r="B446" t="s">
        <v>62</v>
      </c>
      <c r="C446" s="2">
        <v>0.009926993110831502</v>
      </c>
      <c r="D446" s="2">
        <v>-0.006732855643710237</v>
      </c>
      <c r="E446" s="2">
        <v>4.501833934104851E-05</v>
      </c>
      <c r="F446" s="2">
        <f>Inputs!$E$2*C446+Inputs!$F$2*D446</f>
        <v>0.0039018811024396013</v>
      </c>
      <c r="G446" s="2">
        <f>Inputs!$E$3*C446+Inputs!$F$3*D446</f>
        <v>-0.011057524705701599</v>
      </c>
      <c r="H446" s="2">
        <f>F446^2</f>
        <v>1.5224676137575279e-05</v>
      </c>
      <c r="I446" s="2">
        <f>G446^2</f>
        <v>0.00012226885261720124</v>
      </c>
      <c r="J446" s="2">
        <f>LN(1+F446+E446)</f>
        <v>0.003939130868654317</v>
      </c>
      <c r="K446" s="2">
        <f>LN(1+G446+E446)</f>
        <v>-0.011073592905871578</v>
      </c>
      <c r="L446" s="2">
        <f>LN(1+E446)</f>
        <v>4.501732604598013e-05</v>
      </c>
      <c r="M446" s="2">
        <f>LN(1+C446+E446)</f>
        <v>0.009922619033726788</v>
      </c>
      <c r="N446" s="2">
        <f>LN(1+D446+E446)</f>
        <v>-0.0067103011004349825</v>
      </c>
      <c r="O446" s="2">
        <f>LN(1+C446+E446+Inputs!$B$7/Inputs!$B$9)</f>
        <v>0.009932441668497742</v>
      </c>
      <c r="P446" s="2">
        <f>LN(1+D446+E446+Inputs!$B$8/Inputs!$B$9)</f>
        <v>-0.0067103011004349825</v>
      </c>
      <c r="Q446" s="2">
        <f>LN(1+E446+Inputs!$B$6/Inputs!$B$9)</f>
        <v>6.485750588883764e-05</v>
      </c>
    </row>
    <row r="447" spans="1:17">
      <c r="A447" s="3">
        <v>43017</v>
      </c>
      <c r="B447" t="s">
        <v>62</v>
      </c>
      <c r="C447" s="2">
        <v>0.003239871661849455</v>
      </c>
      <c r="D447" s="2">
        <v>-0.0004767477047953526</v>
      </c>
      <c r="E447" s="2">
        <v>4.509738822487827E-05</v>
      </c>
      <c r="F447" s="2">
        <f>Inputs!$E$2*C447+Inputs!$F$2*D447</f>
        <v>0.0023058487066022</v>
      </c>
      <c r="G447" s="2">
        <f>Inputs!$E$3*C447+Inputs!$F$3*D447</f>
        <v>-0.0015440587443087</v>
      </c>
      <c r="H447" s="2">
        <f>F447^2</f>
        <v>5.316938257739039e-06</v>
      </c>
      <c r="I447" s="2">
        <f>G447^2</f>
        <v>2.3841174058761596e-06</v>
      </c>
      <c r="J447" s="2">
        <f>LN(1+F447+E447)</f>
        <v>0.002348186944619402</v>
      </c>
      <c r="K447" s="2">
        <f>LN(1+G447+E447)</f>
        <v>-0.0015000859225855628</v>
      </c>
      <c r="L447" s="2">
        <f>LN(1+E447)</f>
        <v>4.5096371368249876e-05</v>
      </c>
      <c r="M447" s="2">
        <f>LN(1+C447+E447)</f>
        <v>0.0032795853262659823</v>
      </c>
      <c r="N447" s="2">
        <f>LN(1+D447+E447)</f>
        <v>-0.00043174350438522706</v>
      </c>
      <c r="O447" s="2">
        <f>LN(1+C447+E447+Inputs!$B$7/Inputs!$B$9)</f>
        <v>0.0032894734300237894</v>
      </c>
      <c r="P447" s="2">
        <f>LN(1+D447+E447+Inputs!$B$8/Inputs!$B$9)</f>
        <v>-0.00043174350438522706</v>
      </c>
      <c r="Q447" s="2">
        <f>LN(1+E447+Inputs!$B$6/Inputs!$B$9)</f>
        <v>6.493654964284958e-05</v>
      </c>
    </row>
    <row r="448" spans="1:17">
      <c r="A448" s="3">
        <v>43018</v>
      </c>
      <c r="B448" t="s">
        <v>62</v>
      </c>
      <c r="C448" s="2">
        <v>-0.01296222400395268</v>
      </c>
      <c r="D448" s="2">
        <v>-0.004217128352021311</v>
      </c>
      <c r="E448" s="2">
        <v>4.517643710870803E-05</v>
      </c>
      <c r="F448" s="2">
        <f>Inputs!$E$2*C448+Inputs!$F$2*D448</f>
        <v>-0.012900056214375</v>
      </c>
      <c r="G448" s="2">
        <f>Inputs!$E$3*C448+Inputs!$F$3*D448</f>
        <v>-0.0011718868212392997</v>
      </c>
      <c r="H448" s="2">
        <f>F448^2</f>
        <v>0.00016641145033403505</v>
      </c>
      <c r="I448" s="2">
        <f>G448^2</f>
        <v>1.3733187217943503e-06</v>
      </c>
      <c r="J448" s="2">
        <f>LN(1+F448+E448)</f>
        <v>-0.01293821872277103</v>
      </c>
      <c r="K448" s="2">
        <f>LN(1+G448+E448)</f>
        <v>-0.0011273455994557406</v>
      </c>
      <c r="L448" s="2">
        <f>LN(1+E448)</f>
        <v>4.517541668449348e-05</v>
      </c>
      <c r="M448" s="2">
        <f>LN(1+C448+E448)</f>
        <v>-0.013001198061844993</v>
      </c>
      <c r="N448" s="2">
        <f>LN(1+D448+E448)</f>
        <v>-0.004180678786819504</v>
      </c>
      <c r="O448" s="2">
        <f>LN(1+C448+E448+Inputs!$B$7/Inputs!$B$9)</f>
        <v>-0.012991147655196706</v>
      </c>
      <c r="P448" s="2">
        <f>LN(1+D448+E448+Inputs!$B$8/Inputs!$B$9)</f>
        <v>-0.004180678786819504</v>
      </c>
      <c r="Q448" s="2">
        <f>LN(1+E448+Inputs!$B$6/Inputs!$B$9)</f>
        <v>6.501559339083564e-05</v>
      </c>
    </row>
    <row r="449" spans="1:17">
      <c r="A449" s="3">
        <v>43019</v>
      </c>
      <c r="B449" t="s">
        <v>62</v>
      </c>
      <c r="C449" s="2">
        <v>0.01990057308249983</v>
      </c>
      <c r="D449" s="2">
        <v>-0.003101329843207397</v>
      </c>
      <c r="E449" s="2">
        <v>4.525548599253779E-05</v>
      </c>
      <c r="F449" s="2">
        <f>Inputs!$E$2*C449+Inputs!$F$2*D449</f>
        <v>0.014059660560075802</v>
      </c>
      <c r="G449" s="2">
        <f>Inputs!$E$3*C449+Inputs!$F$3*D449</f>
        <v>-0.0096917677365984</v>
      </c>
      <c r="H449" s="2">
        <f>F449^2</f>
        <v>0.00019767405506455101</v>
      </c>
      <c r="I449" s="2">
        <f>G449^2</f>
        <v>9.39303618601697e-05</v>
      </c>
      <c r="J449" s="2">
        <f>LN(1+F449+E449)</f>
        <v>0.014006367317652866</v>
      </c>
      <c r="K449" s="2">
        <f>LN(1+G449+E449)</f>
        <v>-0.009693341250936323</v>
      </c>
      <c r="L449" s="2">
        <f>LN(1+E449)</f>
        <v>4.5254461994488934e-05</v>
      </c>
      <c r="M449" s="2">
        <f>LN(1+C449+E449)</f>
        <v>0.01974951663925828</v>
      </c>
      <c r="N449" s="2">
        <f>LN(1+D449+E449)</f>
        <v>-0.0030607536884738372</v>
      </c>
      <c r="O449" s="2">
        <f>LN(1+C449+E449+Inputs!$B$7/Inputs!$B$9)</f>
        <v>0.019759243221196203</v>
      </c>
      <c r="P449" s="2">
        <f>LN(1+D449+E449+Inputs!$B$8/Inputs!$B$9)</f>
        <v>-0.0030607536884738372</v>
      </c>
      <c r="Q449" s="2">
        <f>LN(1+E449+Inputs!$B$6/Inputs!$B$9)</f>
        <v>6.50946371325738e-05</v>
      </c>
    </row>
    <row r="450" spans="1:17">
      <c r="A450" s="3">
        <v>43020</v>
      </c>
      <c r="B450" t="s">
        <v>62</v>
      </c>
      <c r="C450" s="2">
        <v>0.006166912546191742</v>
      </c>
      <c r="D450" s="2">
        <v>-0.005044383156083398</v>
      </c>
      <c r="E450" s="2">
        <v>4.533453487636755E-05</v>
      </c>
      <c r="F450" s="2">
        <f>Inputs!$E$2*C450+Inputs!$F$2*D450</f>
        <v>0.0019069001433038003</v>
      </c>
      <c r="G450" s="2">
        <f>Inputs!$E$3*C450+Inputs!$F$3*D450</f>
        <v>-0.0079033335511572</v>
      </c>
      <c r="H450" s="2">
        <f>F450^2</f>
        <v>3.636268156532054e-06</v>
      </c>
      <c r="I450" s="2">
        <f>G450^2</f>
        <v>6.246268122084708e-05</v>
      </c>
      <c r="J450" s="2">
        <f>LN(1+F450+E450)</f>
        <v>0.0019503315445670271</v>
      </c>
      <c r="K450" s="2">
        <f>LN(1+G450+E450)</f>
        <v>-0.007889035788754908</v>
      </c>
      <c r="L450" s="2">
        <f>LN(1+E450)</f>
        <v>4.5333507297126054e-05</v>
      </c>
      <c r="M450" s="2">
        <f>LN(1+C450+E450)</f>
        <v>0.0061930306180500785</v>
      </c>
      <c r="N450" s="2">
        <f>LN(1+D450+E450)</f>
        <v>-0.005011585664410484</v>
      </c>
      <c r="O450" s="2">
        <f>LN(1+C450+E450+Inputs!$B$7/Inputs!$B$9)</f>
        <v>0.006202889955425552</v>
      </c>
      <c r="P450" s="2">
        <f>LN(1+D450+E450+Inputs!$B$8/Inputs!$B$9)</f>
        <v>-0.005011585664410484</v>
      </c>
      <c r="Q450" s="2">
        <f>LN(1+E450+Inputs!$B$6/Inputs!$B$9)</f>
        <v>6.517368086695389e-05</v>
      </c>
    </row>
    <row r="451" spans="1:17">
      <c r="A451" s="3">
        <v>43021</v>
      </c>
      <c r="B451" t="s">
        <v>62</v>
      </c>
      <c r="C451" s="2">
        <v>0.0001987524069527494</v>
      </c>
      <c r="D451" s="2">
        <v>-0.003569052328463632</v>
      </c>
      <c r="E451" s="2">
        <v>4.541358376019731E-05</v>
      </c>
      <c r="F451" s="2">
        <f>Inputs!$E$2*C451+Inputs!$F$2*D451</f>
        <v>-0.001982429471516</v>
      </c>
      <c r="G451" s="2">
        <f>Inputs!$E$3*C451+Inputs!$F$3*D451</f>
        <v>-0.0043424885162427</v>
      </c>
      <c r="H451" s="2">
        <f>F451^2</f>
        <v>3.930026609535206e-06</v>
      </c>
      <c r="I451" s="2">
        <f>G451^2</f>
        <v>1.8857206513699725e-05</v>
      </c>
      <c r="J451" s="2">
        <f>LN(1+F451+E451)</f>
        <v>-0.0019388943291365002</v>
      </c>
      <c r="K451" s="2">
        <f>LN(1+G451+E451)</f>
        <v>-0.0043063338927878435</v>
      </c>
      <c r="L451" s="2">
        <f>LN(1+E451)</f>
        <v>4.541255259440315e-05</v>
      </c>
      <c r="M451" s="2">
        <f>LN(1+C451+E451)</f>
        <v>0.0002441361870488372</v>
      </c>
      <c r="N451" s="2">
        <f>LN(1+D451+E451)</f>
        <v>-0.0035298613815555294</v>
      </c>
      <c r="O451" s="2">
        <f>LN(1+C451+E451+Inputs!$B$7/Inputs!$B$9)</f>
        <v>0.0002540543510939943</v>
      </c>
      <c r="P451" s="2">
        <f>LN(1+D451+E451+Inputs!$B$8/Inputs!$B$9)</f>
        <v>-0.0035298613815555294</v>
      </c>
      <c r="Q451" s="2">
        <f>LN(1+E451+Inputs!$B$6/Inputs!$B$9)</f>
        <v>6.525272459597418e-05</v>
      </c>
    </row>
    <row r="452" spans="1:17">
      <c r="A452" s="3">
        <v>43024</v>
      </c>
      <c r="B452" t="s">
        <v>62</v>
      </c>
      <c r="C452" s="2">
        <v>0.009848144608928442</v>
      </c>
      <c r="D452" s="2">
        <v>0.008869976842504367</v>
      </c>
      <c r="E452" s="2">
        <v>4.549263264402707E-05</v>
      </c>
      <c r="F452" s="2">
        <f>Inputs!$E$2*C452+Inputs!$F$2*D452</f>
        <v>0.0132005017926448</v>
      </c>
      <c r="G452" s="2">
        <f>Inputs!$E$3*C452+Inputs!$F$3*D452</f>
        <v>0.0076895288283264</v>
      </c>
      <c r="H452" s="2">
        <f>F452^2</f>
        <v>0.0001742532475776186</v>
      </c>
      <c r="I452" s="2">
        <f>G452^2</f>
        <v>5.9128853601662777e-05</v>
      </c>
      <c r="J452" s="2">
        <f>LN(1+F452+E452)</f>
        <v>0.01315903332358808</v>
      </c>
      <c r="K452" s="2">
        <f>LN(1+G452+E452)</f>
        <v>0.007705259556595478</v>
      </c>
      <c r="L452" s="2">
        <f>LN(1+E452)</f>
        <v>4.549159788565412e-05</v>
      </c>
      <c r="M452" s="2">
        <f>LN(1+C452+E452)</f>
        <v>0.009845015645906521</v>
      </c>
      <c r="N452" s="2">
        <f>LN(1+D452+E452)</f>
        <v>0.008875961325994247</v>
      </c>
      <c r="O452" s="2">
        <f>LN(1+C452+E452+Inputs!$B$7/Inputs!$B$9)</f>
        <v>0.009854839042973046</v>
      </c>
      <c r="P452" s="2">
        <f>LN(1+D452+E452+Inputs!$B$8/Inputs!$B$9)</f>
        <v>0.008875961325994247</v>
      </c>
      <c r="Q452" s="2">
        <f>LN(1+E452+Inputs!$B$6/Inputs!$B$9)</f>
        <v>6.53317683189686e-05</v>
      </c>
    </row>
    <row r="453" spans="1:17">
      <c r="A453" s="3">
        <v>43025</v>
      </c>
      <c r="B453" t="s">
        <v>62</v>
      </c>
      <c r="C453" s="2">
        <v>-0.006556224720425256</v>
      </c>
      <c r="D453" s="2">
        <v>-0.009546866051444527</v>
      </c>
      <c r="E453" s="2">
        <v>4.557168152785684E-05</v>
      </c>
      <c r="F453" s="2">
        <f>Inputs!$E$2*C453+Inputs!$F$2*D453</f>
        <v>-0.010973099407207</v>
      </c>
      <c r="G453" s="2">
        <f>Inputs!$E$3*C453+Inputs!$F$3*D453</f>
        <v>-0.009489371845606501</v>
      </c>
      <c r="H453" s="2">
        <f>F453^2</f>
        <v>0.00012040891060044664</v>
      </c>
      <c r="I453" s="2">
        <f>G453^2</f>
        <v>9.004817802418933e-05</v>
      </c>
      <c r="J453" s="2">
        <f>LN(1+F453+E453)</f>
        <v>-0.010987671708133926</v>
      </c>
      <c r="K453" s="2">
        <f>LN(1+G453+E453)</f>
        <v>-0.009488675598074993</v>
      </c>
      <c r="L453" s="2">
        <f>LN(1+E453)</f>
        <v>4.5570643170434906e-05</v>
      </c>
      <c r="M453" s="2">
        <f>LN(1+C453+E453)</f>
        <v>-0.0065319397844400065</v>
      </c>
      <c r="N453" s="2">
        <f>LN(1+D453+E453)</f>
        <v>-0.009546719628753754</v>
      </c>
      <c r="O453" s="2">
        <f>LN(1+C453+E453+Inputs!$B$7/Inputs!$B$9)</f>
        <v>-0.0065219541862860265</v>
      </c>
      <c r="P453" s="2">
        <f>LN(1+D453+E453+Inputs!$B$8/Inputs!$B$9)</f>
        <v>-0.009546719628753754</v>
      </c>
      <c r="Q453" s="2">
        <f>LN(1+E453+Inputs!$B$6/Inputs!$B$9)</f>
        <v>6.541081203549309e-05</v>
      </c>
    </row>
    <row r="454" spans="1:17">
      <c r="A454" s="3">
        <v>43026</v>
      </c>
      <c r="B454" t="s">
        <v>62</v>
      </c>
      <c r="C454" s="2">
        <v>0.02430106897024627</v>
      </c>
      <c r="D454" s="2">
        <v>-0.008346161688596206</v>
      </c>
      <c r="E454" s="2">
        <v>4.56507304116866E-05</v>
      </c>
      <c r="F454" s="2">
        <f>Inputs!$E$2*C454+Inputs!$F$2*D454</f>
        <v>0.014433158163039202</v>
      </c>
      <c r="G454" s="2">
        <f>Inputs!$E$3*C454+Inputs!$F$3*D454</f>
        <v>-0.017305714717389</v>
      </c>
      <c r="H454" s="2">
        <f>F454^2</f>
        <v>0.00020831605455930516</v>
      </c>
      <c r="I454" s="2">
        <f>G454^2</f>
        <v>0.0002994877618796542</v>
      </c>
      <c r="J454" s="2">
        <f>LN(1+F454+E454)</f>
        <v>0.014374991838316822</v>
      </c>
      <c r="K454" s="2">
        <f>LN(1+G454+E454)</f>
        <v>-0.017410755370585226</v>
      </c>
      <c r="L454" s="2">
        <f>LN(1+E454)</f>
        <v>4.564968844918956e-05</v>
      </c>
      <c r="M454" s="2">
        <f>LN(1+C454+E454)</f>
        <v>0.02405506276516136</v>
      </c>
      <c r="N454" s="2">
        <f>LN(1+D454+E454)</f>
        <v>-0.0083351520248219</v>
      </c>
      <c r="O454" s="2">
        <f>LN(1+C454+E454+Inputs!$B$7/Inputs!$B$9)</f>
        <v>0.02406474755907957</v>
      </c>
      <c r="P454" s="2">
        <f>LN(1+D454+E454+Inputs!$B$8/Inputs!$B$9)</f>
        <v>-0.0083351520248219</v>
      </c>
      <c r="Q454" s="2">
        <f>LN(1+E454+Inputs!$B$6/Inputs!$B$9)</f>
        <v>6.548985574599168e-05</v>
      </c>
    </row>
    <row r="455" spans="1:17">
      <c r="A455" s="3">
        <v>43027</v>
      </c>
      <c r="B455" t="s">
        <v>62</v>
      </c>
      <c r="C455" s="2">
        <v>0.00358910315332468</v>
      </c>
      <c r="D455" s="2">
        <v>-0.0005257385559559835</v>
      </c>
      <c r="E455" s="2">
        <v>4.572977929551634E-05</v>
      </c>
      <c r="F455" s="2">
        <f>Inputs!$E$2*C455+Inputs!$F$2*D455</f>
        <v>0.0025558393890864</v>
      </c>
      <c r="G455" s="2">
        <f>Inputs!$E$3*C455+Inputs!$F$3*D455</f>
        <v>-0.0017076172131446998</v>
      </c>
      <c r="H455" s="2">
        <f>F455^2</f>
        <v>6.532314982805543e-06</v>
      </c>
      <c r="I455" s="2">
        <f>G455^2</f>
        <v>2.9159565466280714e-06</v>
      </c>
      <c r="J455" s="2">
        <f>LN(1+F455+E455)</f>
        <v>0.002598190945165766</v>
      </c>
      <c r="K455" s="2">
        <f>LN(1+G455+E455)</f>
        <v>-0.0016632699006519376</v>
      </c>
      <c r="L455" s="2">
        <f>LN(1+E455)</f>
        <v>4.572873372147403e-05</v>
      </c>
      <c r="M455" s="2">
        <f>LN(1+C455+E455)</f>
        <v>0.003628242891701083</v>
      </c>
      <c r="N455" s="2">
        <f>LN(1+D455+E455)</f>
        <v>-0.0004801240177521249</v>
      </c>
      <c r="O455" s="2">
        <f>LN(1+C455+E455+Inputs!$B$7/Inputs!$B$9)</f>
        <v>0.003638127548514682</v>
      </c>
      <c r="P455" s="2">
        <f>LN(1+D455+E455+Inputs!$B$8/Inputs!$B$9)</f>
        <v>-0.0004801240177521249</v>
      </c>
      <c r="Q455" s="2">
        <f>LN(1+E455+Inputs!$B$6/Inputs!$B$9)</f>
        <v>6.556889945002034e-05</v>
      </c>
    </row>
    <row r="456" spans="1:17">
      <c r="A456" s="3">
        <v>43028</v>
      </c>
      <c r="B456" t="s">
        <v>62</v>
      </c>
      <c r="C456" s="2">
        <v>0.005338269119840201</v>
      </c>
      <c r="D456" s="2">
        <v>-0.003195699898281743</v>
      </c>
      <c r="E456" s="2">
        <v>4.580882817934611E-05</v>
      </c>
      <c r="F456" s="2">
        <f>Inputs!$E$2*C456+Inputs!$F$2*D456</f>
        <v>0.0023531953569028005</v>
      </c>
      <c r="G456" s="2">
        <f>Inputs!$E$3*C456+Inputs!$F$3*D456</f>
        <v>-0.0054363206138904</v>
      </c>
      <c r="H456" s="2">
        <f>F456^2</f>
        <v>5.537528387748899e-06</v>
      </c>
      <c r="I456" s="2">
        <f>G456^2</f>
        <v>2.9553581817009694e-05</v>
      </c>
      <c r="J456" s="2">
        <f>LN(1+F456+E456)</f>
        <v>0.0023961311685433387</v>
      </c>
      <c r="K456" s="2">
        <f>LN(1+G456+E456)</f>
        <v>-0.005405093018177637</v>
      </c>
      <c r="L456" s="2">
        <f>LN(1+E456)</f>
        <v>4.580777898662221e-05</v>
      </c>
      <c r="M456" s="2">
        <f>LN(1+C456+E456)</f>
        <v>0.005369635616244907</v>
      </c>
      <c r="N456" s="2">
        <f>LN(1+D456+E456)</f>
        <v>-0.0031548624191967095</v>
      </c>
      <c r="O456" s="2">
        <f>LN(1+C456+E456+Inputs!$B$7/Inputs!$B$9)</f>
        <v>0.005379503075052558</v>
      </c>
      <c r="P456" s="2">
        <f>LN(1+D456+E456+Inputs!$B$8/Inputs!$B$9)</f>
        <v>-0.0031548624191967095</v>
      </c>
      <c r="Q456" s="2">
        <f>LN(1+E456+Inputs!$B$6/Inputs!$B$9)</f>
        <v>6.564794314691298e-05</v>
      </c>
    </row>
    <row r="457" spans="1:17">
      <c r="A457" s="3">
        <v>43031</v>
      </c>
      <c r="B457" t="s">
        <v>62</v>
      </c>
      <c r="C457" s="2">
        <v>0.004921434359343091</v>
      </c>
      <c r="D457" s="2">
        <v>-0.006483901432780517</v>
      </c>
      <c r="E457" s="2">
        <v>4.588787706317587E-05</v>
      </c>
      <c r="F457" s="2">
        <f>Inputs!$E$2*C457+Inputs!$F$2*D457</f>
        <v>4.6806627805800766e-05</v>
      </c>
      <c r="G457" s="2">
        <f>Inputs!$E$3*C457+Inputs!$F$3*D457</f>
        <v>-0.009257112027140099</v>
      </c>
      <c r="H457" s="2">
        <f>F457^2</f>
        <v>2.1908604065507615e-09</v>
      </c>
      <c r="I457" s="2">
        <f>G457^2</f>
        <v>8.569412308302187e-05</v>
      </c>
      <c r="J457" s="2">
        <f>LN(1+F457+E457)</f>
        <v>9.269020899877926e-05</v>
      </c>
      <c r="K457" s="2">
        <f>LN(1+G457+E457)</f>
        <v>-0.009253909802190215</v>
      </c>
      <c r="L457" s="2">
        <f>LN(1+E457)</f>
        <v>4.58868242466324e-05</v>
      </c>
      <c r="M457" s="2">
        <f>LN(1+C457+E457)</f>
        <v>0.004955025794753126</v>
      </c>
      <c r="N457" s="2">
        <f>LN(1+D457+E457)</f>
        <v>-0.006458826944333448</v>
      </c>
      <c r="O457" s="2">
        <f>LN(1+C457+E457+Inputs!$B$7/Inputs!$B$9)</f>
        <v>0.004964897345534147</v>
      </c>
      <c r="P457" s="2">
        <f>LN(1+D457+E457+Inputs!$B$8/Inputs!$B$9)</f>
        <v>-0.006458826944333448</v>
      </c>
      <c r="Q457" s="2">
        <f>LN(1+E457+Inputs!$B$6/Inputs!$B$9)</f>
        <v>6.572698683866786e-05</v>
      </c>
    </row>
    <row r="458" spans="1:17">
      <c r="A458" s="3">
        <v>43032</v>
      </c>
      <c r="B458" t="s">
        <v>62</v>
      </c>
      <c r="C458" s="2">
        <v>-0.01085914645459041</v>
      </c>
      <c r="D458" s="2">
        <v>0.002441204424257772</v>
      </c>
      <c r="E458" s="2">
        <v>4.596692594700563E-05</v>
      </c>
      <c r="F458" s="2">
        <f>Inputs!$E$2*C458+Inputs!$F$2*D458</f>
        <v>-0.0072225945091171995</v>
      </c>
      <c r="G458" s="2">
        <f>Inputs!$E$3*C458+Inputs!$F$3*D458</f>
        <v>0.0061871892454866</v>
      </c>
      <c r="H458" s="2">
        <f>F458^2</f>
        <v>5.2165871443129923e-05</v>
      </c>
      <c r="I458" s="2">
        <f>G458^2</f>
        <v>3.828131075946504e-05</v>
      </c>
      <c r="J458" s="2">
        <f>LN(1+F458+E458)</f>
        <v>-0.007202503450202149</v>
      </c>
      <c r="K458" s="2">
        <f>LN(1+G458+E458)</f>
        <v>0.006213810402020664</v>
      </c>
      <c r="L458" s="2">
        <f>LN(1+E458)</f>
        <v>4.596586950017241e-05</v>
      </c>
      <c r="M458" s="2">
        <f>LN(1+C458+E458)</f>
        <v>-0.010872066845229634</v>
      </c>
      <c r="N458" s="2">
        <f>LN(1+D458+E458)</f>
        <v>0.0024840834585596865</v>
      </c>
      <c r="O458" s="2">
        <f>LN(1+C458+E458+Inputs!$B$7/Inputs!$B$9)</f>
        <v>-0.010862037814344602</v>
      </c>
      <c r="P458" s="2">
        <f>LN(1+D458+E458+Inputs!$B$8/Inputs!$B$9)</f>
        <v>0.0024840834585596865</v>
      </c>
      <c r="Q458" s="2">
        <f>LN(1+E458+Inputs!$B$6/Inputs!$B$9)</f>
        <v>6.58060305239528e-05</v>
      </c>
    </row>
    <row r="459" spans="1:17">
      <c r="A459" s="3">
        <v>43033</v>
      </c>
      <c r="B459" t="s">
        <v>62</v>
      </c>
      <c r="C459" s="2">
        <v>-0.01397201848368929</v>
      </c>
      <c r="D459" s="2">
        <v>-0.007055659922929426</v>
      </c>
      <c r="E459" s="2">
        <v>4.604597483083539E-05</v>
      </c>
      <c r="F459" s="2">
        <f>Inputs!$E$2*C459+Inputs!$F$2*D459</f>
        <v>-0.015411010740708601</v>
      </c>
      <c r="G459" s="2">
        <f>Inputs!$E$3*C459+Inputs!$F$3*D459</f>
        <v>-0.004275186362408101</v>
      </c>
      <c r="H459" s="2">
        <f>F459^2</f>
        <v>0.00023749925205023586</v>
      </c>
      <c r="I459" s="2">
        <f>G459^2</f>
        <v>1.8277218433320214e-05</v>
      </c>
      <c r="J459" s="2">
        <f>LN(1+F459+E459)</f>
        <v>-0.015484229075461096</v>
      </c>
      <c r="K459" s="2">
        <f>LN(1+G459+E459)</f>
        <v>-0.00423810849564259</v>
      </c>
      <c r="L459" s="2">
        <f>LN(1+E459)</f>
        <v>4.60449147476863e-05</v>
      </c>
      <c r="M459" s="2">
        <f>LN(1+C459+E459)</f>
        <v>-0.014023848606336077</v>
      </c>
      <c r="N459" s="2">
        <f>LN(1+D459+E459)</f>
        <v>-0.007034296703971547</v>
      </c>
      <c r="O459" s="2">
        <f>LN(1+C459+E459+Inputs!$B$7/Inputs!$B$9)</f>
        <v>-0.014013787916428468</v>
      </c>
      <c r="P459" s="2">
        <f>LN(1+D459+E459+Inputs!$B$8/Inputs!$B$9)</f>
        <v>-0.007034296703971547</v>
      </c>
      <c r="Q459" s="2">
        <f>LN(1+E459+Inputs!$B$6/Inputs!$B$9)</f>
        <v>6.588507420321186e-05</v>
      </c>
    </row>
    <row r="460" spans="1:17">
      <c r="A460" s="3">
        <v>43034</v>
      </c>
      <c r="B460" t="s">
        <v>62</v>
      </c>
      <c r="C460" s="2">
        <v>0.003163345600633406</v>
      </c>
      <c r="D460" s="2">
        <v>-0.0001034874138407832</v>
      </c>
      <c r="E460" s="2">
        <v>4.612502371466515E-05</v>
      </c>
      <c r="F460" s="2">
        <f>Inputs!$E$2*C460+Inputs!$F$2*D460</f>
        <v>0.0024685840322018</v>
      </c>
      <c r="G460" s="2">
        <f>Inputs!$E$3*C460+Inputs!$F$3*D460</f>
        <v>-0.0010731885767991</v>
      </c>
      <c r="H460" s="2">
        <f>F460^2</f>
        <v>6.093907124041698e-06</v>
      </c>
      <c r="I460" s="2">
        <f>G460^2</f>
        <v>1.1517337213720776e-06</v>
      </c>
      <c r="J460" s="2">
        <f>LN(1+F460+E460)</f>
        <v>0.002511552465928285</v>
      </c>
      <c r="K460" s="2">
        <f>LN(1+G460+E460)</f>
        <v>-0.0010275913442693953</v>
      </c>
      <c r="L460" s="2">
        <f>LN(1+E460)</f>
        <v>4.612395998873e-05</v>
      </c>
      <c r="M460" s="2">
        <f>LN(1+C460+E460)</f>
        <v>0.00320433126697865</v>
      </c>
      <c r="N460" s="2">
        <f>LN(1+D460+E460)</f>
        <v>-5.736403541081141e-05</v>
      </c>
      <c r="O460" s="2">
        <f>LN(1+C460+E460+Inputs!$B$7/Inputs!$B$9)</f>
        <v>0.003214220114880724</v>
      </c>
      <c r="P460" s="2">
        <f>LN(1+D460+E460+Inputs!$B$8/Inputs!$B$9)</f>
        <v>-5.736403541081141e-05</v>
      </c>
      <c r="Q460" s="2">
        <f>LN(1+E460+Inputs!$B$6/Inputs!$B$9)</f>
        <v>6.596411787600101e-05</v>
      </c>
    </row>
    <row r="461" spans="1:17">
      <c r="A461" s="3">
        <v>43035</v>
      </c>
      <c r="B461" t="s">
        <v>62</v>
      </c>
      <c r="C461" s="2">
        <v>0.004667746768016493</v>
      </c>
      <c r="D461" s="2">
        <v>0.005519060476460756</v>
      </c>
      <c r="E461" s="2">
        <v>4.620407259849491E-05</v>
      </c>
      <c r="F461" s="2">
        <f>Inputs!$E$2*C461+Inputs!$F$2*D461</f>
        <v>0.0070456337002894</v>
      </c>
      <c r="G461" s="2">
        <f>Inputs!$E$3*C461+Inputs!$F$3*D461</f>
        <v>0.0052225485413484</v>
      </c>
      <c r="H461" s="2">
        <f>F461^2</f>
        <v>4.9640954238653703e-05</v>
      </c>
      <c r="I461" s="2">
        <f>G461^2</f>
        <v>2.72750132667403e-05</v>
      </c>
      <c r="J461" s="2">
        <f>LN(1+F461+E461)</f>
        <v>0.007066808955261383</v>
      </c>
      <c r="K461" s="2">
        <f>LN(1+G461+E461)</f>
        <v>0.005254921298142669</v>
      </c>
      <c r="L461" s="2">
        <f>LN(1+E461)</f>
        <v>4.6203005222637425e-05</v>
      </c>
      <c r="M461" s="2">
        <f>LN(1+C461+E461)</f>
        <v>0.004702874968123322</v>
      </c>
      <c r="N461" s="2">
        <f>LN(1+D461+E461)</f>
        <v>0.005549835681658037</v>
      </c>
      <c r="O461" s="2">
        <f>LN(1+C461+E461+Inputs!$B$7/Inputs!$B$9)</f>
        <v>0.004712749008325585</v>
      </c>
      <c r="P461" s="2">
        <f>LN(1+D461+E461+Inputs!$B$8/Inputs!$B$9)</f>
        <v>0.005549835681658037</v>
      </c>
      <c r="Q461" s="2">
        <f>LN(1+E461+Inputs!$B$6/Inputs!$B$9)</f>
        <v>6.604316154165412e-05</v>
      </c>
    </row>
    <row r="462" spans="1:17">
      <c r="A462" s="3">
        <v>43038</v>
      </c>
      <c r="B462" t="s">
        <v>62</v>
      </c>
      <c r="C462" s="2">
        <v>0.01596409618455352</v>
      </c>
      <c r="D462" s="2">
        <v>0.003238636116079832</v>
      </c>
      <c r="E462" s="2">
        <v>4.628312148232467E-05</v>
      </c>
      <c r="F462" s="2">
        <f>Inputs!$E$2*C462+Inputs!$F$2*D462</f>
        <v>0.0147144586172912</v>
      </c>
      <c r="G462" s="2">
        <f>Inputs!$E$3*C462+Inputs!$F$3*D462</f>
        <v>-0.0009028655160702006</v>
      </c>
      <c r="H462" s="2">
        <f>F462^2</f>
        <v>0.00021651529239997527</v>
      </c>
      <c r="I462" s="2">
        <f>G462^2</f>
        <v>8.151661401087096e-07</v>
      </c>
      <c r="J462" s="2">
        <f>LN(1+F462+E462)</f>
        <v>0.014652862281999102</v>
      </c>
      <c r="K462" s="2">
        <f>LN(1+G462+E462)</f>
        <v>-0.00085694947092327</v>
      </c>
      <c r="L462" s="2">
        <f>LN(1+E462)</f>
        <v>4.628205045140686e-05</v>
      </c>
      <c r="M462" s="2">
        <f>LN(1+C462+E462)</f>
        <v>0.015883564956506314</v>
      </c>
      <c r="N462" s="2">
        <f>LN(1+D462+E462)</f>
        <v>0.00327953567684987</v>
      </c>
      <c r="O462" s="2">
        <f>LN(1+C462+E462+Inputs!$B$7/Inputs!$B$9)</f>
        <v>0.015893329213534584</v>
      </c>
      <c r="P462" s="2">
        <f>LN(1+D462+E462+Inputs!$B$8/Inputs!$B$9)</f>
        <v>0.00327953567684987</v>
      </c>
      <c r="Q462" s="2">
        <f>LN(1+E462+Inputs!$B$6/Inputs!$B$9)</f>
        <v>6.61222052021695e-05</v>
      </c>
    </row>
    <row r="463" spans="1:17">
      <c r="A463" s="3">
        <v>43039</v>
      </c>
      <c r="B463" t="s">
        <v>62</v>
      </c>
      <c r="C463" s="2">
        <v>0.005838104810668984</v>
      </c>
      <c r="D463" s="2">
        <v>-0.001702155445125307</v>
      </c>
      <c r="E463" s="2">
        <v>4.636217036615443E-05</v>
      </c>
      <c r="F463" s="2">
        <f>Inputs!$E$2*C463+Inputs!$F$2*D463</f>
        <v>0.0036491905814602004</v>
      </c>
      <c r="G463" s="2">
        <f>Inputs!$E$3*C463+Inputs!$F$3*D463</f>
        <v>-0.0037940179773506997</v>
      </c>
      <c r="H463" s="2">
        <f>F463^2</f>
        <v>1.3316591899817836e-05</v>
      </c>
      <c r="I463" s="2">
        <f>G463^2</f>
        <v>1.4394572412460294e-05</v>
      </c>
      <c r="J463" s="2">
        <f>LN(1+F463+E463)</f>
        <v>0.0036887409737872516</v>
      </c>
      <c r="K463" s="2">
        <f>LN(1+G463+E463)</f>
        <v>-0.003754695863652152</v>
      </c>
      <c r="L463" s="2">
        <f>LN(1+E463)</f>
        <v>4.636109567370612e-05</v>
      </c>
      <c r="M463" s="2">
        <f>LN(1+C463+E463)</f>
        <v>0.0058672211272418505</v>
      </c>
      <c r="N463" s="2">
        <f>LN(1+D463+E463)</f>
        <v>-0.0016571656155276112</v>
      </c>
      <c r="O463" s="2">
        <f>LN(1+C463+E463+Inputs!$B$7/Inputs!$B$9)</f>
        <v>0.00587708367739052</v>
      </c>
      <c r="P463" s="2">
        <f>LN(1+D463+E463+Inputs!$B$8/Inputs!$B$9)</f>
        <v>-0.0016571656155276112</v>
      </c>
      <c r="Q463" s="2">
        <f>LN(1+E463+Inputs!$B$6/Inputs!$B$9)</f>
        <v>6.620124885621493e-05</v>
      </c>
    </row>
    <row r="464" spans="1:17">
      <c r="A464" s="3">
        <v>43040</v>
      </c>
      <c r="B464" t="s">
        <v>63</v>
      </c>
      <c r="C464" s="2">
        <v>-0.01210295859586659</v>
      </c>
      <c r="D464" s="2">
        <v>-3.086847493171958E-05</v>
      </c>
      <c r="E464" s="2">
        <v>4.644121924998419E-05</v>
      </c>
      <c r="F464" s="2">
        <f>Inputs!$E$2*C464+Inputs!$F$2*D464</f>
        <v>-0.0097008879616528</v>
      </c>
      <c r="G464" s="2">
        <f>Inputs!$E$3*C464+Inputs!$F$3*D464</f>
        <v>0.0035938454088417</v>
      </c>
      <c r="H464" s="2">
        <f>F464^2</f>
        <v>9.410722724454023e-05</v>
      </c>
      <c r="I464" s="2">
        <f>G464^2</f>
        <v>1.2915724822652567e-05</v>
      </c>
      <c r="J464" s="2">
        <f>LN(1+F464+E464)</f>
        <v>-0.009701353060538025</v>
      </c>
      <c r="K464" s="2">
        <f>LN(1+G464+E464)</f>
        <v>0.0036336768209294665</v>
      </c>
      <c r="L464" s="2">
        <f>LN(1+E464)</f>
        <v>4.644014088997927e-05</v>
      </c>
      <c r="M464" s="2">
        <f>LN(1+C464+E464)</f>
        <v>-0.012129786692957079</v>
      </c>
      <c r="N464" s="2">
        <f>LN(1+D464+E464)</f>
        <v>1.5572623063924872e-05</v>
      </c>
      <c r="O464" s="2">
        <f>LN(1+C464+E464+Inputs!$B$7/Inputs!$B$9)</f>
        <v>-0.012119745040488636</v>
      </c>
      <c r="P464" s="2">
        <f>LN(1+D464+E464+Inputs!$B$8/Inputs!$B$9)</f>
        <v>1.5572623063924872e-05</v>
      </c>
      <c r="Q464" s="2">
        <f>LN(1+E464+Inputs!$B$6/Inputs!$B$9)</f>
        <v>6.628029250423449e-05</v>
      </c>
    </row>
    <row r="465" spans="1:17">
      <c r="A465" s="3">
        <v>43041</v>
      </c>
      <c r="B465" t="s">
        <v>63</v>
      </c>
      <c r="C465" s="2">
        <v>0.00656262804806395</v>
      </c>
      <c r="D465" s="2">
        <v>0.000871856245683974</v>
      </c>
      <c r="E465" s="2">
        <v>4.652026813381395E-05</v>
      </c>
      <c r="F465" s="2">
        <f>Inputs!$E$2*C465+Inputs!$F$2*D465</f>
        <v>0.0057732161858616</v>
      </c>
      <c r="G465" s="2">
        <f>Inputs!$E$3*C465+Inputs!$F$3*D465</f>
        <v>-0.0009225609195983998</v>
      </c>
      <c r="H465" s="2">
        <f>F465^2</f>
        <v>3.333002512869436e-05</v>
      </c>
      <c r="I465" s="2">
        <f>G465^2</f>
        <v>8.511186503702452e-07</v>
      </c>
      <c r="J465" s="2">
        <f>LN(1+F465+E465)</f>
        <v>0.005802867205873907</v>
      </c>
      <c r="K465" s="2">
        <f>LN(1+G465+E465)</f>
        <v>-0.0008764245993282494</v>
      </c>
      <c r="L465" s="2">
        <f>LN(1+E465)</f>
        <v>4.651918609978224e-05</v>
      </c>
      <c r="M465" s="2">
        <f>LN(1+C465+E465)</f>
        <v>0.00658740365202266</v>
      </c>
      <c r="N465" s="2">
        <f>LN(1+D465+E465)</f>
        <v>0.0009179550641205741</v>
      </c>
      <c r="O465" s="2">
        <f>LN(1+C465+E465+Inputs!$B$7/Inputs!$B$9)</f>
        <v>0.006597259101927107</v>
      </c>
      <c r="P465" s="2">
        <f>LN(1+D465+E465+Inputs!$B$8/Inputs!$B$9)</f>
        <v>0.0009179550641205741</v>
      </c>
      <c r="Q465" s="2">
        <f>LN(1+E465+Inputs!$B$6/Inputs!$B$9)</f>
        <v>6.635933614578413e-05</v>
      </c>
    </row>
    <row r="466" spans="1:17">
      <c r="A466" s="3">
        <v>43042</v>
      </c>
      <c r="B466" t="s">
        <v>63</v>
      </c>
      <c r="C466" s="2">
        <v>0.009773171220675784</v>
      </c>
      <c r="D466" s="2">
        <v>0.003050654907437563</v>
      </c>
      <c r="E466" s="2">
        <v>4.659931701764371E-05</v>
      </c>
      <c r="F466" s="2">
        <f>Inputs!$E$2*C466+Inputs!$F$2*D466</f>
        <v>0.0096489299210036</v>
      </c>
      <c r="G466" s="2">
        <f>Inputs!$E$3*C466+Inputs!$F$3*D466</f>
        <v>0.0007288345227227998</v>
      </c>
      <c r="H466" s="2">
        <f>F466^2</f>
        <v>9.310184862043854e-05</v>
      </c>
      <c r="I466" s="2">
        <f>G466^2</f>
        <v>5.311997615125713e-07</v>
      </c>
      <c r="J466" s="2">
        <f>LN(1+F466+E466)</f>
        <v>0.009648829206135493</v>
      </c>
      <c r="K466" s="2">
        <f>LN(1+G466+E466)</f>
        <v>0.000775133346252707</v>
      </c>
      <c r="L466" s="2">
        <f>LN(1+E466)</f>
        <v>4.6598231303559094e-05</v>
      </c>
      <c r="M466" s="2">
        <f>LN(1+C466+E466)</f>
        <v>0.009771869917778328</v>
      </c>
      <c r="N466" s="2">
        <f>LN(1+D466+E466)</f>
        <v>0.0030924676136109227</v>
      </c>
      <c r="O466" s="2">
        <f>LN(1+C466+E466+Inputs!$B$7/Inputs!$B$9)</f>
        <v>0.009781694033407133</v>
      </c>
      <c r="P466" s="2">
        <f>LN(1+D466+E466+Inputs!$B$8/Inputs!$B$9)</f>
        <v>0.0030924676136109227</v>
      </c>
      <c r="Q466" s="2">
        <f>LN(1+E466+Inputs!$B$6/Inputs!$B$9)</f>
        <v>6.64383797813079e-05</v>
      </c>
    </row>
    <row r="467" spans="1:17">
      <c r="A467" s="3">
        <v>43045</v>
      </c>
      <c r="B467" t="s">
        <v>63</v>
      </c>
      <c r="C467" s="2">
        <v>0.01162202352985349</v>
      </c>
      <c r="D467" s="2">
        <v>-0.004810342305262352</v>
      </c>
      <c r="E467" s="2">
        <v>4.667836590147347E-05</v>
      </c>
      <c r="F467" s="2">
        <f>Inputs!$E$2*C467+Inputs!$F$2*D467</f>
        <v>0.006411413440725201</v>
      </c>
      <c r="G467" s="2">
        <f>Inputs!$E$3*C467+Inputs!$F$3*D467</f>
        <v>-0.009259017825270301</v>
      </c>
      <c r="H467" s="2">
        <f>F467^2</f>
        <v>4.110622230791175e-05</v>
      </c>
      <c r="I467" s="2">
        <f>G467^2</f>
        <v>8.572941108867319e-05</v>
      </c>
      <c r="J467" s="2">
        <f>LN(1+F467+E467)</f>
        <v>0.00643732768153893</v>
      </c>
      <c r="K467" s="2">
        <f>LN(1+G467+E467)</f>
        <v>-0.009255035480989842</v>
      </c>
      <c r="L467" s="2">
        <f>LN(1+E467)</f>
        <v>4.667727649997763e-05</v>
      </c>
      <c r="M467" s="2">
        <f>LN(1+C467+E467)</f>
        <v>0.01160114759989896</v>
      </c>
      <c r="N467" s="2">
        <f>LN(1+D467+E467)</f>
        <v>-0.004775046348793134</v>
      </c>
      <c r="O467" s="2">
        <f>LN(1+C467+E467+Inputs!$B$7/Inputs!$B$9)</f>
        <v>0.01161095376100732</v>
      </c>
      <c r="P467" s="2">
        <f>LN(1+D467+E467+Inputs!$B$8/Inputs!$B$9)</f>
        <v>-0.004775046348793134</v>
      </c>
      <c r="Q467" s="2">
        <f>LN(1+E467+Inputs!$B$6/Inputs!$B$9)</f>
        <v>6.651742340947363e-05</v>
      </c>
    </row>
    <row r="468" spans="1:17">
      <c r="A468" s="3">
        <v>43046</v>
      </c>
      <c r="B468" t="s">
        <v>63</v>
      </c>
      <c r="C468" s="2">
        <v>0.004176641268968161</v>
      </c>
      <c r="D468" s="2">
        <v>0.006365966258864521</v>
      </c>
      <c r="E468" s="2">
        <v>4.675741478530323E-05</v>
      </c>
      <c r="F468" s="2">
        <f>Inputs!$E$2*C468+Inputs!$F$2*D468</f>
        <v>0.0071608927704934</v>
      </c>
      <c r="G468" s="2">
        <f>Inputs!$E$3*C468+Inputs!$F$3*D468</f>
        <v>0.0063861671299476</v>
      </c>
      <c r="H468" s="2">
        <f>F468^2</f>
        <v>5.1278385270504646e-05</v>
      </c>
      <c r="I468" s="2">
        <f>G468^2</f>
        <v>4.0783130611623173e-05</v>
      </c>
      <c r="J468" s="2">
        <f>LN(1+F468+E468)</f>
        <v>0.007181799216849777</v>
      </c>
      <c r="K468" s="2">
        <f>LN(1+G468+E468)</f>
        <v>0.006412321596569343</v>
      </c>
      <c r="L468" s="2">
        <f>LN(1+E468)</f>
        <v>4.6756321691258204e-05</v>
      </c>
      <c r="M468" s="2">
        <f>LN(1+C468+E468)</f>
        <v>0.004214505167316091</v>
      </c>
      <c r="N468" s="2">
        <f>LN(1+D468+E468)</f>
        <v>0.006392249644106298</v>
      </c>
      <c r="O468" s="2">
        <f>LN(1+C468+E468+Inputs!$B$7/Inputs!$B$9)</f>
        <v>0.004224384030855273</v>
      </c>
      <c r="P468" s="2">
        <f>LN(1+D468+E468+Inputs!$B$8/Inputs!$B$9)</f>
        <v>0.006392249644106298</v>
      </c>
      <c r="Q468" s="2">
        <f>LN(1+E468+Inputs!$B$6/Inputs!$B$9)</f>
        <v>6.659646703250162e-05</v>
      </c>
    </row>
    <row r="469" spans="1:17">
      <c r="A469" s="3">
        <v>43047</v>
      </c>
      <c r="B469" t="s">
        <v>63</v>
      </c>
      <c r="C469" s="2">
        <v>-0.01269981172448202</v>
      </c>
      <c r="D469" s="2">
        <v>0.003854213275523441</v>
      </c>
      <c r="E469" s="2">
        <v>4.683646366913299E-05</v>
      </c>
      <c r="F469" s="2">
        <f>Inputs!$E$2*C469+Inputs!$F$2*D469</f>
        <v>-0.007847321414271802</v>
      </c>
      <c r="G469" s="2">
        <f>Inputs!$E$3*C469+Inputs!$F$3*D469</f>
        <v>0.0084349994479722</v>
      </c>
      <c r="H469" s="2">
        <f>F469^2</f>
        <v>6.15804533788888e-05</v>
      </c>
      <c r="I469" s="2">
        <f>G469^2</f>
        <v>7.114921568729132e-05</v>
      </c>
      <c r="J469" s="2">
        <f>LN(1+F469+E469)</f>
        <v>-0.007831067878261834</v>
      </c>
      <c r="K469" s="2">
        <f>LN(1+G469+E469)</f>
        <v>0.008446067255027364</v>
      </c>
      <c r="L469" s="2">
        <f>LN(1+E469)</f>
        <v>4.6835366876068596e-05</v>
      </c>
      <c r="M469" s="2">
        <f>LN(1+C469+E469)</f>
        <v>-0.012733705863429583</v>
      </c>
      <c r="N469" s="2">
        <f>LN(1+D469+E469)</f>
        <v>0.003893460375910823</v>
      </c>
      <c r="O469" s="2">
        <f>LN(1+C469+E469+Inputs!$B$7/Inputs!$B$9)</f>
        <v>-0.012723658144813629</v>
      </c>
      <c r="P469" s="2">
        <f>LN(1+D469+E469+Inputs!$B$8/Inputs!$B$9)</f>
        <v>0.003893460375910823</v>
      </c>
      <c r="Q469" s="2">
        <f>LN(1+E469+Inputs!$B$6/Inputs!$B$9)</f>
        <v>6.667551064905967e-05</v>
      </c>
    </row>
    <row r="470" spans="1:17">
      <c r="A470" s="3">
        <v>43048</v>
      </c>
      <c r="B470" t="s">
        <v>63</v>
      </c>
      <c r="C470" s="2">
        <v>0.01317506144030198</v>
      </c>
      <c r="D470" s="2">
        <v>0.009461583437516628</v>
      </c>
      <c r="E470" s="2">
        <v>4.691551255296275E-05</v>
      </c>
      <c r="F470" s="2">
        <f>Inputs!$E$2*C470+Inputs!$F$2*D470</f>
        <v>0.0162169992147518</v>
      </c>
      <c r="G470" s="2">
        <f>Inputs!$E$3*C470+Inputs!$F$3*D470</f>
        <v>0.007401381692929799</v>
      </c>
      <c r="H470" s="2">
        <f>F470^2</f>
        <v>0.00026299106353126046</v>
      </c>
      <c r="I470" s="2">
        <f>G470^2</f>
        <v>5.4780450964436374e-05</v>
      </c>
      <c r="J470" s="2">
        <f>LN(1+F470+E470)</f>
        <v>0.016133074014735925</v>
      </c>
      <c r="K470" s="2">
        <f>LN(1+G470+E470)</f>
        <v>0.007420695611701212</v>
      </c>
      <c r="L470" s="2">
        <f>LN(1+E470)</f>
        <v>4.6914412054852883e-05</v>
      </c>
      <c r="M470" s="2">
        <f>LN(1+C470+E470)</f>
        <v>0.013135329546598446</v>
      </c>
      <c r="N470" s="2">
        <f>LN(1+D470+E470)</f>
        <v>0.00946357770517217</v>
      </c>
      <c r="O470" s="2">
        <f>LN(1+C470+E470+Inputs!$B$7/Inputs!$B$9)</f>
        <v>0.013145120674879614</v>
      </c>
      <c r="P470" s="2">
        <f>LN(1+D470+E470+Inputs!$B$8/Inputs!$B$9)</f>
        <v>0.00946357770517217</v>
      </c>
      <c r="Q470" s="2">
        <f>LN(1+E470+Inputs!$B$6/Inputs!$B$9)</f>
        <v>6.675455425959187e-05</v>
      </c>
    </row>
    <row r="471" spans="1:17">
      <c r="A471" s="3">
        <v>43049</v>
      </c>
      <c r="B471" t="s">
        <v>63</v>
      </c>
      <c r="C471" s="2">
        <v>-0.007695212116981753</v>
      </c>
      <c r="D471" s="2">
        <v>0.004625586279136163</v>
      </c>
      <c r="E471" s="2">
        <v>4.699456143679251E-05</v>
      </c>
      <c r="F471" s="2">
        <f>Inputs!$E$2*C471+Inputs!$F$2*D471</f>
        <v>-0.0033808179261040007</v>
      </c>
      <c r="G471" s="2">
        <f>Inputs!$E$3*C471+Inputs!$F$3*D471</f>
        <v>0.0078592671700578</v>
      </c>
      <c r="H471" s="2">
        <f>F471^2</f>
        <v>1.1429929849466156e-05</v>
      </c>
      <c r="I471" s="2">
        <f>G471^2</f>
        <v>6.176808045034835e-05</v>
      </c>
      <c r="J471" s="2">
        <f>LN(1+F471+E471)</f>
        <v>-0.003339392935869983</v>
      </c>
      <c r="K471" s="2">
        <f>LN(1+G471+E471)</f>
        <v>0.007875171010944183</v>
      </c>
      <c r="L471" s="2">
        <f>LN(1+E471)</f>
        <v>4.6993457227167e-05</v>
      </c>
      <c r="M471" s="2">
        <f>LN(1+C471+E471)</f>
        <v>-0.007677615160210266</v>
      </c>
      <c r="N471" s="2">
        <f>LN(1+D471+E471)</f>
        <v>0.0046616982214948465</v>
      </c>
      <c r="O471" s="2">
        <f>LN(1+C471+E471+Inputs!$B$7/Inputs!$B$9)</f>
        <v>-0.007667618115303673</v>
      </c>
      <c r="P471" s="2">
        <f>LN(1+D471+E471+Inputs!$B$8/Inputs!$B$9)</f>
        <v>0.0046616982214948465</v>
      </c>
      <c r="Q471" s="2">
        <f>LN(1+E471+Inputs!$B$6/Inputs!$B$9)</f>
        <v>6.683359786365413e-05</v>
      </c>
    </row>
    <row r="472" spans="1:17">
      <c r="A472" s="3">
        <v>43052</v>
      </c>
      <c r="B472" t="s">
        <v>63</v>
      </c>
      <c r="C472" s="2">
        <v>0.006710072086829316</v>
      </c>
      <c r="D472" s="2">
        <v>0.005602606069629021</v>
      </c>
      <c r="E472" s="2">
        <v>4.707361032062228E-05</v>
      </c>
      <c r="F472" s="2">
        <f>Inputs!$E$2*C472+Inputs!$F$2*D472</f>
        <v>0.0087296213112406</v>
      </c>
      <c r="G472" s="2">
        <f>Inputs!$E$3*C472+Inputs!$F$3*D472</f>
        <v>0.004710105657506101</v>
      </c>
      <c r="H472" s="2">
        <f>F472^2</f>
        <v>7.620628823766604e-05</v>
      </c>
      <c r="I472" s="2">
        <f>G472^2</f>
        <v>2.2185095304870978e-05</v>
      </c>
      <c r="J472" s="2">
        <f>LN(1+F472+E472)</f>
        <v>0.008738403618972403</v>
      </c>
      <c r="K472" s="2">
        <f>LN(1+G472+E472)</f>
        <v>0.00474589964916713</v>
      </c>
      <c r="L472" s="2">
        <f>LN(1+E472)</f>
        <v>4.707250239345501e-05</v>
      </c>
      <c r="M472" s="2">
        <f>LN(1+C472+E472)</f>
        <v>0.00673441851132451</v>
      </c>
      <c r="N472" s="2">
        <f>LN(1+D472+E472)</f>
        <v>0.005633780096632659</v>
      </c>
      <c r="O472" s="2">
        <f>LN(1+C472+E472+Inputs!$B$7/Inputs!$B$9)</f>
        <v>0.0067442725124450134</v>
      </c>
      <c r="P472" s="2">
        <f>LN(1+D472+E472+Inputs!$B$8/Inputs!$B$9)</f>
        <v>0.005633780096632659</v>
      </c>
      <c r="Q472" s="2">
        <f>LN(1+E472+Inputs!$B$6/Inputs!$B$9)</f>
        <v>6.691264146169055e-05</v>
      </c>
    </row>
    <row r="473" spans="1:17">
      <c r="A473" s="3">
        <v>43053</v>
      </c>
      <c r="B473" t="s">
        <v>63</v>
      </c>
      <c r="C473" s="2">
        <v>-0.01627940244818899</v>
      </c>
      <c r="D473" s="2">
        <v>-0.01633757632923686</v>
      </c>
      <c r="E473" s="2">
        <v>4.715265920445203E-05</v>
      </c>
      <c r="F473" s="2">
        <f>Inputs!$E$2*C473+Inputs!$F$2*D473</f>
        <v>-0.0228260677560934</v>
      </c>
      <c r="G473" s="2">
        <f>Inputs!$E$3*C473+Inputs!$F$3*D473</f>
        <v>-0.0147212708606277</v>
      </c>
      <c r="H473" s="2">
        <f>F473^2</f>
        <v>0.0005210293692057669</v>
      </c>
      <c r="I473" s="2">
        <f>G473^2</f>
        <v>0.0002167158157519662</v>
      </c>
      <c r="J473" s="2">
        <f>LN(1+F473+E473)</f>
        <v>-0.02304236297591466</v>
      </c>
      <c r="K473" s="2">
        <f>LN(1+G473+E473)</f>
        <v>-0.014782848061450493</v>
      </c>
      <c r="L473" s="2">
        <f>LN(1+E473)</f>
        <v>4.715154755238471e-05</v>
      </c>
      <c r="M473" s="2">
        <f>LN(1+C473+E473)</f>
        <v>-0.016365435996770955</v>
      </c>
      <c r="N473" s="2">
        <f>LN(1+D473+E473)</f>
        <v>-0.016424571500169346</v>
      </c>
      <c r="O473" s="2">
        <f>LN(1+C473+E473+Inputs!$B$7/Inputs!$B$9)</f>
        <v>-0.01635535172139456</v>
      </c>
      <c r="P473" s="2">
        <f>LN(1+D473+E473+Inputs!$B$8/Inputs!$B$9)</f>
        <v>-0.016424571500169346</v>
      </c>
      <c r="Q473" s="2">
        <f>LN(1+E473+Inputs!$B$6/Inputs!$B$9)</f>
        <v>6.699168505236893e-05</v>
      </c>
    </row>
    <row r="474" spans="1:17">
      <c r="A474" s="3">
        <v>43054</v>
      </c>
      <c r="B474" t="s">
        <v>63</v>
      </c>
      <c r="C474" s="2">
        <v>0.009036018687648865</v>
      </c>
      <c r="D474" s="2">
        <v>-0.003273442107184703</v>
      </c>
      <c r="E474" s="2">
        <v>4.723170808828179E-05</v>
      </c>
      <c r="F474" s="2">
        <f>Inputs!$E$2*C474+Inputs!$F$2*D474</f>
        <v>0.005264749685808201</v>
      </c>
      <c r="G474" s="2">
        <f>Inputs!$E$3*C474+Inputs!$F$3*D474</f>
        <v>-0.006638936134916699</v>
      </c>
      <c r="H474" s="2">
        <f>F474^2</f>
        <v>2.7717589254217553e-05</v>
      </c>
      <c r="I474" s="2">
        <f>G474^2</f>
        <v>4.407547300350268e-05</v>
      </c>
      <c r="J474" s="2">
        <f>LN(1+F474+E474)</f>
        <v>0.005297922585507418</v>
      </c>
      <c r="K474" s="2">
        <f>LN(1+G474+E474)</f>
        <v>-0.006613525656043602</v>
      </c>
      <c r="L474" s="2">
        <f>LN(1+E474)</f>
        <v>4.723059270595441e-05</v>
      </c>
      <c r="M474" s="2">
        <f>LN(1+C474+E474)</f>
        <v>0.009042245793197703</v>
      </c>
      <c r="N474" s="2">
        <f>LN(1+D474+E474)</f>
        <v>-0.003231425836286188</v>
      </c>
      <c r="O474" s="2">
        <f>LN(1+C474+E474+Inputs!$B$7/Inputs!$B$9)</f>
        <v>0.009052077079318602</v>
      </c>
      <c r="P474" s="2">
        <f>LN(1+D474+E474+Inputs!$B$8/Inputs!$B$9)</f>
        <v>-0.003231425836286188</v>
      </c>
      <c r="Q474" s="2">
        <f>LN(1+E474+Inputs!$B$6/Inputs!$B$9)</f>
        <v>6.707072863768753e-05</v>
      </c>
    </row>
    <row r="475" spans="1:17">
      <c r="A475" s="3">
        <v>43055</v>
      </c>
      <c r="B475" t="s">
        <v>63</v>
      </c>
      <c r="C475" s="2">
        <v>-0.008224092258099214</v>
      </c>
      <c r="D475" s="2">
        <v>0.01267822264201336</v>
      </c>
      <c r="E475" s="2">
        <v>4.731075697211155E-05</v>
      </c>
      <c r="F475" s="2">
        <f>Inputs!$E$2*C475+Inputs!$F$2*D475</f>
        <v>0.0010276597787286</v>
      </c>
      <c r="G475" s="2">
        <f>Inputs!$E$3*C475+Inputs!$F$3*D475</f>
        <v>0.0176810948478453</v>
      </c>
      <c r="H475" s="2">
        <f>F475^2</f>
        <v>1.0560846208165152e-06</v>
      </c>
      <c r="I475" s="2">
        <f>G475^2</f>
        <v>0.0003126211150185016</v>
      </c>
      <c r="J475" s="2">
        <f>LN(1+F475+E475)</f>
        <v>0.001074393168605768</v>
      </c>
      <c r="K475" s="2">
        <f>LN(1+G475+E475)</f>
        <v>0.017573090396255958</v>
      </c>
      <c r="L475" s="2">
        <f>LN(1+E475)</f>
        <v>4.730963785349801e-05</v>
      </c>
      <c r="M475" s="2">
        <f>LN(1+C475+E475)</f>
        <v>-0.0082103947364408</v>
      </c>
      <c r="N475" s="2">
        <f>LN(1+D475+E475)</f>
        <v>0.012645244229708712</v>
      </c>
      <c r="O475" s="2">
        <f>LN(1+C475+E475+Inputs!$B$7/Inputs!$B$9)</f>
        <v>-0.0082003923639204</v>
      </c>
      <c r="P475" s="2">
        <f>LN(1+D475+E475+Inputs!$B$8/Inputs!$B$9)</f>
        <v>0.012645244229708712</v>
      </c>
      <c r="Q475" s="2">
        <f>LN(1+E475+Inputs!$B$6/Inputs!$B$9)</f>
        <v>6.714977221698028e-05</v>
      </c>
    </row>
    <row r="476" spans="1:17">
      <c r="A476" s="3">
        <v>43056</v>
      </c>
      <c r="B476" t="s">
        <v>63</v>
      </c>
      <c r="C476" s="2">
        <v>0.01221018246454657</v>
      </c>
      <c r="D476" s="2">
        <v>0.002717831566652569</v>
      </c>
      <c r="E476" s="2">
        <v>4.738980585594131E-05</v>
      </c>
      <c r="F476" s="2">
        <f>Inputs!$E$2*C476+Inputs!$F$2*D476</f>
        <v>0.0113988449116294</v>
      </c>
      <c r="G476" s="2">
        <f>Inputs!$E$3*C476+Inputs!$F$3*D476</f>
        <v>-0.0004016568593804997</v>
      </c>
      <c r="H476" s="2">
        <f>F476^2</f>
        <v>0.00012993366531937947</v>
      </c>
      <c r="I476" s="2">
        <f>G476^2</f>
        <v>1.6132823268740654e-07</v>
      </c>
      <c r="J476" s="2">
        <f>LN(1+F476+E476)</f>
        <v>0.011381222201554787</v>
      </c>
      <c r="K476" s="2">
        <f>LN(1+G476+E476)</f>
        <v>-0.0003543298209219177</v>
      </c>
      <c r="L476" s="2">
        <f>LN(1+E476)</f>
        <v>4.7388682994571436e-05</v>
      </c>
      <c r="M476" s="2">
        <f>LN(1+C476+E476)</f>
        <v>0.012183056534806686</v>
      </c>
      <c r="N476" s="2">
        <f>LN(1+D476+E476)</f>
        <v>0.0027614051813462416</v>
      </c>
      <c r="O476" s="2">
        <f>LN(1+C476+E476+Inputs!$B$7/Inputs!$B$9)</f>
        <v>0.012192856991310183</v>
      </c>
      <c r="P476" s="2">
        <f>LN(1+D476+E476+Inputs!$B$8/Inputs!$B$9)</f>
        <v>0.0027614051813462416</v>
      </c>
      <c r="Q476" s="2">
        <f>LN(1+E476+Inputs!$B$6/Inputs!$B$9)</f>
        <v>6.72288157898031e-05</v>
      </c>
    </row>
    <row r="477" spans="1:17">
      <c r="A477" s="3">
        <v>43059</v>
      </c>
      <c r="B477" t="s">
        <v>63</v>
      </c>
      <c r="C477" s="2">
        <v>0.01979078767631826</v>
      </c>
      <c r="D477" s="2">
        <v>-0.003423488834103716</v>
      </c>
      <c r="E477" s="2">
        <v>4.746885473977107E-05</v>
      </c>
      <c r="F477" s="2">
        <f>Inputs!$E$2*C477+Inputs!$F$2*D477</f>
        <v>0.013778536840592001</v>
      </c>
      <c r="G477" s="2">
        <f>Inputs!$E$3*C477+Inputs!$F$3*D477</f>
        <v>-0.0100454229038202</v>
      </c>
      <c r="H477" s="2">
        <f>F477^2</f>
        <v>0.000189848077467551</v>
      </c>
      <c r="I477" s="2">
        <f>G477^2</f>
        <v>0.00010091052131659545</v>
      </c>
      <c r="J477" s="2">
        <f>LN(1+F477+E477)</f>
        <v>0.013731298428959272</v>
      </c>
      <c r="K477" s="2">
        <f>LN(1+G477+E477)</f>
        <v>-0.010048269238546088</v>
      </c>
      <c r="L477" s="2">
        <f>LN(1+E477)</f>
        <v>4.7467728129618765e-05</v>
      </c>
      <c r="M477" s="2">
        <f>LN(1+C477+E477)</f>
        <v>0.019644042693931826</v>
      </c>
      <c r="N477" s="2">
        <f>LN(1+D477+E477)</f>
        <v>-0.0033817315934531306</v>
      </c>
      <c r="O477" s="2">
        <f>LN(1+C477+E477+Inputs!$B$7/Inputs!$B$9)</f>
        <v>0.019653770301819834</v>
      </c>
      <c r="P477" s="2">
        <f>LN(1+D477+E477+Inputs!$B$8/Inputs!$B$9)</f>
        <v>-0.0033817315934531306</v>
      </c>
      <c r="Q477" s="2">
        <f>LN(1+E477+Inputs!$B$6/Inputs!$B$9)</f>
        <v>6.730785935660008e-05</v>
      </c>
    </row>
    <row r="478" spans="1:17">
      <c r="A478" s="3">
        <v>43060</v>
      </c>
      <c r="B478" t="s">
        <v>63</v>
      </c>
      <c r="C478" s="2">
        <v>0.01436464565008112</v>
      </c>
      <c r="D478" s="2">
        <v>0.004731471688559116</v>
      </c>
      <c r="E478" s="2">
        <v>4.754790362360084E-05</v>
      </c>
      <c r="F478" s="2">
        <f>Inputs!$E$2*C478+Inputs!$F$2*D478</f>
        <v>0.0143305995332002</v>
      </c>
      <c r="G478" s="2">
        <f>Inputs!$E$3*C478+Inputs!$F$3*D478</f>
        <v>0.0013683723312464995</v>
      </c>
      <c r="H478" s="2">
        <f>F478^2</f>
        <v>0.0002053660829809578</v>
      </c>
      <c r="I478" s="2">
        <f>G478^2</f>
        <v>1.8724428369209798e-06</v>
      </c>
      <c r="J478" s="2">
        <f>LN(1+F478+E478)</f>
        <v>0.01427576211549604</v>
      </c>
      <c r="K478" s="2">
        <f>LN(1+G478+E478)</f>
        <v>0.0014149187650375219</v>
      </c>
      <c r="L478" s="2">
        <f>LN(1+E478)</f>
        <v>4.754677325819593e-05</v>
      </c>
      <c r="M478" s="2">
        <f>LN(1+C478+E478)</f>
        <v>0.014309325087673266</v>
      </c>
      <c r="N478" s="2">
        <f>LN(1+D478+E478)</f>
        <v>0.004767636330864085</v>
      </c>
      <c r="O478" s="2">
        <f>LN(1+C478+E478+Inputs!$B$7/Inputs!$B$9)</f>
        <v>0.01431910472801441</v>
      </c>
      <c r="P478" s="2">
        <f>LN(1+D478+E478+Inputs!$B$8/Inputs!$B$9)</f>
        <v>0.004767636330864085</v>
      </c>
      <c r="Q478" s="2">
        <f>LN(1+E478+Inputs!$B$6/Inputs!$B$9)</f>
        <v>6.738690291692713e-05</v>
      </c>
    </row>
    <row r="479" spans="1:17">
      <c r="A479" s="3">
        <v>43061</v>
      </c>
      <c r="B479" t="s">
        <v>63</v>
      </c>
      <c r="C479" s="2">
        <v>-0.01364194826126265</v>
      </c>
      <c r="D479" s="2">
        <v>0.0004810945252804793</v>
      </c>
      <c r="E479" s="2">
        <v>4.76269525074306E-05</v>
      </c>
      <c r="F479" s="2">
        <f>Inputs!$E$2*C479+Inputs!$F$2*D479</f>
        <v>-0.010624901893842402</v>
      </c>
      <c r="G479" s="2">
        <f>Inputs!$E$3*C479+Inputs!$F$3*D479</f>
        <v>0.0046698979087148994</v>
      </c>
      <c r="H479" s="2">
        <f>F479^2</f>
        <v>0.00011288854025377586</v>
      </c>
      <c r="I479" s="2">
        <f>G479^2</f>
        <v>2.180794647781979e-05</v>
      </c>
      <c r="J479" s="2">
        <f>LN(1+F479+E479)</f>
        <v>-0.01063361192727136</v>
      </c>
      <c r="K479" s="2">
        <f>LN(1+G479+E479)</f>
        <v>0.004706432213693655</v>
      </c>
      <c r="L479" s="2">
        <f>LN(1+E479)</f>
        <v>4.762581837963682e-05</v>
      </c>
      <c r="M479" s="2">
        <f>LN(1+C479+E479)</f>
        <v>-0.013687570162316724</v>
      </c>
      <c r="N479" s="2">
        <f>LN(1+D479+E479)</f>
        <v>0.0005285817538342615</v>
      </c>
      <c r="O479" s="2">
        <f>LN(1+C479+E479+Inputs!$B$7/Inputs!$B$9)</f>
        <v>-0.013677512855016468</v>
      </c>
      <c r="P479" s="2">
        <f>LN(1+D479+E479+Inputs!$B$8/Inputs!$B$9)</f>
        <v>0.0005285817538342615</v>
      </c>
      <c r="Q479" s="2">
        <f>LN(1+E479+Inputs!$B$6/Inputs!$B$9)</f>
        <v>6.746594647011819e-05</v>
      </c>
    </row>
    <row r="480" spans="1:17">
      <c r="A480" s="3">
        <v>43063</v>
      </c>
      <c r="B480" t="s">
        <v>63</v>
      </c>
      <c r="C480" s="2">
        <v>-0.01107810801254415</v>
      </c>
      <c r="D480" s="2">
        <v>0.002523417582627193</v>
      </c>
      <c r="E480" s="2">
        <v>4.770600139126036E-05</v>
      </c>
      <c r="F480" s="2">
        <f>Inputs!$E$2*C480+Inputs!$F$2*D480</f>
        <v>-0.007348435860459001</v>
      </c>
      <c r="G480" s="2">
        <f>Inputs!$E$3*C480+Inputs!$F$3*D480</f>
        <v>0.006351533502915599</v>
      </c>
      <c r="H480" s="2">
        <f>F480^2</f>
        <v>5.399950959527982e-05</v>
      </c>
      <c r="I480" s="2">
        <f>G480^2</f>
        <v>4.03419778386593e-05</v>
      </c>
      <c r="J480" s="2">
        <f>LN(1+F480+E480)</f>
        <v>-0.0073275106129504965</v>
      </c>
      <c r="K480" s="2">
        <f>LN(1+G480+E480)</f>
        <v>0.006378851304280794</v>
      </c>
      <c r="L480" s="2">
        <f>LN(1+E480)</f>
        <v>4.770486349593976e-05</v>
      </c>
      <c r="M480" s="2">
        <f>LN(1+C480+E480)</f>
        <v>-0.011091687984747313</v>
      </c>
      <c r="N480" s="2">
        <f>LN(1+D480+E480)</f>
        <v>0.0025678239004950972</v>
      </c>
      <c r="O480" s="2">
        <f>LN(1+C480+E480+Inputs!$B$7/Inputs!$B$9)</f>
        <v>-0.011081656751044252</v>
      </c>
      <c r="P480" s="2">
        <f>LN(1+D480+E480+Inputs!$B$8/Inputs!$B$9)</f>
        <v>0.0025678239004950972</v>
      </c>
      <c r="Q480" s="2">
        <f>LN(1+E480+Inputs!$B$6/Inputs!$B$9)</f>
        <v>6.754499001817152e-05</v>
      </c>
    </row>
    <row r="481" spans="1:17">
      <c r="A481" s="3">
        <v>43066</v>
      </c>
      <c r="B481" t="s">
        <v>63</v>
      </c>
      <c r="C481" s="2">
        <v>-0.01011617444964312</v>
      </c>
      <c r="D481" s="2">
        <v>-0.004665771494961988</v>
      </c>
      <c r="E481" s="2">
        <v>4.778505027509012E-05</v>
      </c>
      <c r="F481" s="2">
        <f>Inputs!$E$2*C481+Inputs!$F$2*D481</f>
        <v>-0.0108924024566916</v>
      </c>
      <c r="G481" s="2">
        <f>Inputs!$E$3*C481+Inputs!$F$3*D481</f>
        <v>-0.0025640734590615</v>
      </c>
      <c r="H481" s="2">
        <f>F481^2</f>
        <v>0.00011864443127854121</v>
      </c>
      <c r="I481" s="2">
        <f>G481^2</f>
        <v>6.574472703463605e-06</v>
      </c>
      <c r="J481" s="2">
        <f>LN(1+F481+E481)</f>
        <v>-0.01090384888751499</v>
      </c>
      <c r="K481" s="2">
        <f>LN(1+G481+E481)</f>
        <v>-0.002519459583308036</v>
      </c>
      <c r="L481" s="2">
        <f>LN(1+E481)</f>
        <v>4.778390860577253e-05</v>
      </c>
      <c r="M481" s="2">
        <f>LN(1+C481+E481)</f>
        <v>-0.0101194184410302</v>
      </c>
      <c r="N481" s="2">
        <f>LN(1+D481+E481)</f>
        <v>-0.004628682285624261</v>
      </c>
      <c r="O481" s="2">
        <f>LN(1+C481+E481+Inputs!$B$7/Inputs!$B$9)</f>
        <v>-0.010109396955601542</v>
      </c>
      <c r="P481" s="2">
        <f>LN(1+D481+E481+Inputs!$B$8/Inputs!$B$9)</f>
        <v>-0.004628682285624261</v>
      </c>
      <c r="Q481" s="2">
        <f>LN(1+E481+Inputs!$B$6/Inputs!$B$9)</f>
        <v>6.762403355975493e-05</v>
      </c>
    </row>
    <row r="482" spans="1:17">
      <c r="A482" s="3">
        <v>43067</v>
      </c>
      <c r="B482" t="s">
        <v>63</v>
      </c>
      <c r="C482" s="2">
        <v>0.008405397278448849</v>
      </c>
      <c r="D482" s="2">
        <v>0.003210823104616041</v>
      </c>
      <c r="E482" s="2">
        <v>4.786409915891988E-05</v>
      </c>
      <c r="F482" s="2">
        <f>Inputs!$E$2*C482+Inputs!$F$2*D482</f>
        <v>0.0086508116855288</v>
      </c>
      <c r="G482" s="2">
        <f>Inputs!$E$3*C482+Inputs!$F$3*D482</f>
        <v>0.0013313685420044997</v>
      </c>
      <c r="H482" s="2">
        <f>F482^2</f>
        <v>7.483654281848164e-05</v>
      </c>
      <c r="I482" s="2">
        <f>G482^2</f>
        <v>1.7725421946391875e-06</v>
      </c>
      <c r="J482" s="2">
        <f>LN(1+F482+E482)</f>
        <v>0.00866106028378664</v>
      </c>
      <c r="K482" s="2">
        <f>LN(1+G482+E482)</f>
        <v>0.0013782823734840197</v>
      </c>
      <c r="L482" s="2">
        <f>LN(1+E482)</f>
        <v>4.78629537095792e-05</v>
      </c>
      <c r="M482" s="2">
        <f>LN(1+C482+E482)</f>
        <v>0.00841773264567531</v>
      </c>
      <c r="N482" s="2">
        <f>LN(1+D482+E482)</f>
        <v>0.0032533891892236456</v>
      </c>
      <c r="O482" s="2">
        <f>LN(1+C482+E482+Inputs!$B$7/Inputs!$B$9)</f>
        <v>0.008427570073451024</v>
      </c>
      <c r="P482" s="2">
        <f>LN(1+D482+E482+Inputs!$B$8/Inputs!$B$9)</f>
        <v>0.0032533891892236456</v>
      </c>
      <c r="Q482" s="2">
        <f>LN(1+E482+Inputs!$B$6/Inputs!$B$9)</f>
        <v>6.770307709531249e-05</v>
      </c>
    </row>
    <row r="483" spans="1:17">
      <c r="A483" s="3">
        <v>43068</v>
      </c>
      <c r="B483" t="s">
        <v>63</v>
      </c>
      <c r="C483" s="2">
        <v>0.004500615571014833</v>
      </c>
      <c r="D483" s="2">
        <v>0.009142281690299842</v>
      </c>
      <c r="E483" s="2">
        <v>4.794314804274963E-05</v>
      </c>
      <c r="F483" s="2">
        <f>Inputs!$E$2*C483+Inputs!$F$2*D483</f>
        <v>0.009085861470992</v>
      </c>
      <c r="G483" s="2">
        <f>Inputs!$E$3*C483+Inputs!$F$3*D483</f>
        <v>0.009620553357055498</v>
      </c>
      <c r="H483" s="2">
        <f>F483^2</f>
        <v>8.25528786700569e-05</v>
      </c>
      <c r="I483" s="2">
        <f>G483^2</f>
        <v>9.255504689595183e-05</v>
      </c>
      <c r="J483" s="2">
        <f>LN(1+F483+E483)</f>
        <v>0.009092343698359078</v>
      </c>
      <c r="K483" s="2">
        <f>LN(1+G483+E483)</f>
        <v>0.009622055694693023</v>
      </c>
      <c r="L483" s="2">
        <f>LN(1+E483)</f>
        <v>4.7941998806915716e-05</v>
      </c>
      <c r="M483" s="2">
        <f>LN(1+C483+E483)</f>
        <v>0.0045382452881858</v>
      </c>
      <c r="N483" s="2">
        <f>LN(1+D483+E483)</f>
        <v>0.009148251687858381</v>
      </c>
      <c r="O483" s="2">
        <f>LN(1+C483+E483+Inputs!$B$7/Inputs!$B$9)</f>
        <v>0.0045481209540739285</v>
      </c>
      <c r="P483" s="2">
        <f>LN(1+D483+E483+Inputs!$B$8/Inputs!$B$9)</f>
        <v>0.009148251687858381</v>
      </c>
      <c r="Q483" s="2">
        <f>LN(1+E483+Inputs!$B$6/Inputs!$B$9)</f>
        <v>6.778212062440013e-05</v>
      </c>
    </row>
    <row r="484" spans="1:17">
      <c r="A484" s="3">
        <v>43069</v>
      </c>
      <c r="B484" t="s">
        <v>63</v>
      </c>
      <c r="C484" s="2">
        <v>0.00222854375900329</v>
      </c>
      <c r="D484" s="2">
        <v>0.001442056574764169</v>
      </c>
      <c r="E484" s="2">
        <v>4.80221969265794E-05</v>
      </c>
      <c r="F484" s="2">
        <f>Inputs!$E$2*C484+Inputs!$F$2*D484</f>
        <v>0.0026480689520608</v>
      </c>
      <c r="G484" s="2">
        <f>Inputs!$E$3*C484+Inputs!$F$3*D484</f>
        <v>0.0010619047620158998</v>
      </c>
      <c r="H484" s="2">
        <f>F484^2</f>
        <v>7.012269174868383e-06</v>
      </c>
      <c r="I484" s="2">
        <f>G484^2</f>
        <v>1.127641723592045e-06</v>
      </c>
      <c r="J484" s="2">
        <f>LN(1+F484+E484)</f>
        <v>0.00269246321461078</v>
      </c>
      <c r="K484" s="2">
        <f>LN(1+G484+E484)</f>
        <v>0.0011093114454238007</v>
      </c>
      <c r="L484" s="2">
        <f>LN(1+E484)</f>
        <v>4.802104389822614e-05</v>
      </c>
      <c r="M484" s="2">
        <f>LN(1+C484+E484)</f>
        <v>0.0022739785059105308</v>
      </c>
      <c r="N484" s="2">
        <f>LN(1+D484+E484)</f>
        <v>0.0014889697059115698</v>
      </c>
      <c r="O484" s="2">
        <f>LN(1+C484+E484+Inputs!$B$7/Inputs!$B$9)</f>
        <v>0.0022838765581650058</v>
      </c>
      <c r="P484" s="2">
        <f>LN(1+D484+E484+Inputs!$B$8/Inputs!$B$9)</f>
        <v>0.0014889697059115698</v>
      </c>
      <c r="Q484" s="2">
        <f>LN(1+E484+Inputs!$B$6/Inputs!$B$9)</f>
        <v>6.786116414746193e-05</v>
      </c>
    </row>
    <row r="485" spans="1:17">
      <c r="A485" s="3">
        <v>43070</v>
      </c>
      <c r="B485" t="s">
        <v>64</v>
      </c>
      <c r="C485" s="2">
        <v>0.003788242928848064</v>
      </c>
      <c r="D485" s="2">
        <v>0.002638340580948939</v>
      </c>
      <c r="E485" s="2">
        <v>4.810124581040916E-05</v>
      </c>
      <c r="F485" s="2">
        <f>Inputs!$E$2*C485+Inputs!$F$2*D485</f>
        <v>0.0046135986916478</v>
      </c>
      <c r="G485" s="2">
        <f>Inputs!$E$3*C485+Inputs!$F$3*D485</f>
        <v>0.0020295358184844</v>
      </c>
      <c r="H485" s="2">
        <f>F485^2</f>
        <v>2.128529288757429e-05</v>
      </c>
      <c r="I485" s="2">
        <f>G485^2</f>
        <v>4.119015638511143e-06</v>
      </c>
      <c r="J485" s="2">
        <f>LN(1+F485+E485)</f>
        <v>0.004650867865172973</v>
      </c>
      <c r="K485" s="2">
        <f>LN(1+G485+E485)</f>
        <v>0.0020754817611843084</v>
      </c>
      <c r="L485" s="2">
        <f>LN(1+E485)</f>
        <v>4.8100088982178265e-05</v>
      </c>
      <c r="M485" s="2">
        <f>LN(1+C485+E485)</f>
        <v>0.0038290041728710027</v>
      </c>
      <c r="N485" s="2">
        <f>LN(1+D485+E485)</f>
        <v>0.0026828397915778135</v>
      </c>
      <c r="O485" s="2">
        <f>LN(1+C485+E485+Inputs!$B$7/Inputs!$B$9)</f>
        <v>0.0038388868454372286</v>
      </c>
      <c r="P485" s="2">
        <f>LN(1+D485+E485+Inputs!$B$8/Inputs!$B$9)</f>
        <v>0.0026828397915778135</v>
      </c>
      <c r="Q485" s="2">
        <f>LN(1+E485+Inputs!$B$6/Inputs!$B$9)</f>
        <v>6.79402076631657e-05</v>
      </c>
    </row>
    <row r="486" spans="1:17">
      <c r="A486" s="3">
        <v>43073</v>
      </c>
      <c r="B486" t="s">
        <v>64</v>
      </c>
      <c r="C486" s="2">
        <v>0.006491932115255959</v>
      </c>
      <c r="D486" s="2">
        <v>-0.004215895921642458</v>
      </c>
      <c r="E486" s="2">
        <v>4.818029469423892E-05</v>
      </c>
      <c r="F486" s="2">
        <f>Inputs!$E$2*C486+Inputs!$F$2*D486</f>
        <v>0.0026640081392196005</v>
      </c>
      <c r="G486" s="2">
        <f>Inputs!$E$3*C486+Inputs!$F$3*D486</f>
        <v>-0.007006654740547199</v>
      </c>
      <c r="H486" s="2">
        <f>F486^2</f>
        <v>7.096939365828278e-06</v>
      </c>
      <c r="I486" s="2">
        <f>G486^2</f>
        <v>4.909321065323254e-05</v>
      </c>
      <c r="J486" s="2">
        <f>LN(1+F486+E486)</f>
        <v>0.0027085170876200017</v>
      </c>
      <c r="K486" s="2">
        <f>LN(1+G486+E486)</f>
        <v>-0.006982797529202772</v>
      </c>
      <c r="L486" s="2">
        <f>LN(1+E486)</f>
        <v>4.81791340607704e-05</v>
      </c>
      <c r="M486" s="2">
        <f>LN(1+C486+E486)</f>
        <v>0.006518818666674647</v>
      </c>
      <c r="N486" s="2">
        <f>LN(1+D486+E486)</f>
        <v>-0.004176424760271849</v>
      </c>
      <c r="O486" s="2">
        <f>LN(1+C486+E486+Inputs!$B$7/Inputs!$B$9)</f>
        <v>0.00652867479253483</v>
      </c>
      <c r="P486" s="2">
        <f>LN(1+D486+E486+Inputs!$B$8/Inputs!$B$9)</f>
        <v>-0.004176424760271849</v>
      </c>
      <c r="Q486" s="2">
        <f>LN(1+E486+Inputs!$B$6/Inputs!$B$9)</f>
        <v>6.801925117350971e-05</v>
      </c>
    </row>
    <row r="487" spans="1:17">
      <c r="A487" s="3">
        <v>43074</v>
      </c>
      <c r="B487" t="s">
        <v>64</v>
      </c>
      <c r="C487" s="2">
        <v>0.007063616963756883</v>
      </c>
      <c r="D487" s="2">
        <v>0.00276628468049931</v>
      </c>
      <c r="E487" s="2">
        <v>4.825934357806868E-05</v>
      </c>
      <c r="F487" s="2">
        <f>Inputs!$E$2*C487+Inputs!$F$2*D487</f>
        <v>0.007310664379305001</v>
      </c>
      <c r="G487" s="2">
        <f>Inputs!$E$3*C487+Inputs!$F$3*D487</f>
        <v>0.0012004565274717</v>
      </c>
      <c r="H487" s="2">
        <f>F487^2</f>
        <v>5.344581366683898e-05</v>
      </c>
      <c r="I487" s="2">
        <f>G487^2</f>
        <v>1.4410958743494122e-06</v>
      </c>
      <c r="J487" s="2">
        <f>LN(1+F487+E487)</f>
        <v>0.007331978952628311</v>
      </c>
      <c r="K487" s="2">
        <f>LN(1+G487+E487)</f>
        <v>0.0012479368738164175</v>
      </c>
      <c r="L487" s="2">
        <f>LN(1+E487)</f>
        <v>4.8258179133336444e-05</v>
      </c>
      <c r="M487" s="2">
        <f>LN(1+C487+E487)</f>
        <v>0.007086706182446842</v>
      </c>
      <c r="N487" s="2">
        <f>LN(1+D487+E487)</f>
        <v>0.002810590611344121</v>
      </c>
      <c r="O487" s="2">
        <f>LN(1+C487+E487+Inputs!$B$7/Inputs!$B$9)</f>
        <v>0.007096556712752736</v>
      </c>
      <c r="P487" s="2">
        <f>LN(1+D487+E487+Inputs!$B$8/Inputs!$B$9)</f>
        <v>0.002810590611344121</v>
      </c>
      <c r="Q487" s="2">
        <f>LN(1+E487+Inputs!$B$6/Inputs!$B$9)</f>
        <v>6.809829467782789e-05</v>
      </c>
    </row>
    <row r="488" spans="1:17">
      <c r="A488" s="3">
        <v>43075</v>
      </c>
      <c r="B488" t="s">
        <v>64</v>
      </c>
      <c r="C488" s="2">
        <v>0.01729721069698038</v>
      </c>
      <c r="D488" s="2">
        <v>-0.002374150875530731</v>
      </c>
      <c r="E488" s="2">
        <v>4.833839246189844E-05</v>
      </c>
      <c r="F488" s="2">
        <f>Inputs!$E$2*C488+Inputs!$F$2*D488</f>
        <v>0.0124132780322654</v>
      </c>
      <c r="G488" s="2">
        <f>Inputs!$E$3*C488+Inputs!$F$3*D488</f>
        <v>-0.008038144259731199</v>
      </c>
      <c r="H488" s="2">
        <f>F488^2</f>
        <v>0.00015408947150632278</v>
      </c>
      <c r="I488" s="2">
        <f>G488^2</f>
        <v>6.461176314024962e-05</v>
      </c>
      <c r="J488" s="2">
        <f>LN(1+F488+E488)</f>
        <v>0.012384609575993364</v>
      </c>
      <c r="K488" s="2">
        <f>LN(1+G488+E488)</f>
        <v>-0.008021895406586847</v>
      </c>
      <c r="L488" s="2">
        <f>LN(1+E488)</f>
        <v>4.833722419965437e-05</v>
      </c>
      <c r="M488" s="2">
        <f>LN(1+C488+E488)</f>
        <v>0.017196832305970047</v>
      </c>
      <c r="N488" s="2">
        <f>LN(1+D488+E488)</f>
        <v>-0.0023285213860040946</v>
      </c>
      <c r="O488" s="2">
        <f>LN(1+C488+E488+Inputs!$B$7/Inputs!$B$9)</f>
        <v>0.01720658374839723</v>
      </c>
      <c r="P488" s="2">
        <f>LN(1+D488+E488+Inputs!$B$8/Inputs!$B$9)</f>
        <v>-0.0023285213860040946</v>
      </c>
      <c r="Q488" s="2">
        <f>LN(1+E488+Inputs!$B$6/Inputs!$B$9)</f>
        <v>6.817733817589818e-05</v>
      </c>
    </row>
    <row r="489" spans="1:17">
      <c r="A489" s="3">
        <v>43076</v>
      </c>
      <c r="B489" t="s">
        <v>64</v>
      </c>
      <c r="C489" s="2">
        <v>-0.0001913761609520927</v>
      </c>
      <c r="D489" s="2">
        <v>-0.00754222816944166</v>
      </c>
      <c r="E489" s="2">
        <v>4.84174413457282E-05</v>
      </c>
      <c r="F489" s="2">
        <f>Inputs!$E$2*C489+Inputs!$F$2*D489</f>
        <v>-0.0046784378304268</v>
      </c>
      <c r="G489" s="2">
        <f>Inputs!$E$3*C489+Inputs!$F$3*D489</f>
        <v>-0.0089932609550448</v>
      </c>
      <c r="H489" s="2">
        <f>F489^2</f>
        <v>2.1887780533168622e-05</v>
      </c>
      <c r="I489" s="2">
        <f>G489^2</f>
        <v>8.087874260553331e-05</v>
      </c>
      <c r="J489" s="2">
        <f>LN(1+F489+E489)</f>
        <v>-0.004640772133516232</v>
      </c>
      <c r="K489" s="2">
        <f>LN(1+G489+E489)</f>
        <v>-0.008985088798037338</v>
      </c>
      <c r="L489" s="2">
        <f>LN(1+E489)</f>
        <v>4.841626925950214e-05</v>
      </c>
      <c r="M489" s="2">
        <f>LN(1+C489+E489)</f>
        <v>-0.00014296893917776414</v>
      </c>
      <c r="N489" s="2">
        <f>LN(1+D489+E489)</f>
        <v>-0.007522030398014911</v>
      </c>
      <c r="O489" s="2">
        <f>LN(1+C489+E489+Inputs!$B$7/Inputs!$B$9)</f>
        <v>-0.00013304693503629695</v>
      </c>
      <c r="P489" s="2">
        <f>LN(1+D489+E489+Inputs!$B$8/Inputs!$B$9)</f>
        <v>-0.007522030398014911</v>
      </c>
      <c r="Q489" s="2">
        <f>LN(1+E489+Inputs!$B$6/Inputs!$B$9)</f>
        <v>6.825638166749857e-05</v>
      </c>
    </row>
    <row r="490" spans="1:17">
      <c r="A490" s="3">
        <v>43077</v>
      </c>
      <c r="B490" t="s">
        <v>64</v>
      </c>
      <c r="C490" s="2">
        <v>0.002499483874802668</v>
      </c>
      <c r="D490" s="2">
        <v>-0.002476887453630996</v>
      </c>
      <c r="E490" s="2">
        <v>4.849649022955796E-05</v>
      </c>
      <c r="F490" s="2">
        <f>Inputs!$E$2*C490+Inputs!$F$2*D490</f>
        <v>0.0005134546276638</v>
      </c>
      <c r="G490" s="2">
        <f>Inputs!$E$3*C490+Inputs!$F$3*D490</f>
        <v>-0.0037221101067981</v>
      </c>
      <c r="H490" s="2">
        <f>F490^2</f>
        <v>2.6363565466937155e-07</v>
      </c>
      <c r="I490" s="2">
        <f>G490^2</f>
        <v>1.3854103647128564e-05</v>
      </c>
      <c r="J490" s="2">
        <f>LN(1+F490+E490)</f>
        <v>0.0005617932824921118</v>
      </c>
      <c r="K490" s="2">
        <f>LN(1+G490+E490)</f>
        <v>-0.003680377906409709</v>
      </c>
      <c r="L490" s="2">
        <f>LN(1+E490)</f>
        <v>4.849531431332382e-05</v>
      </c>
      <c r="M490" s="2">
        <f>LN(1+C490+E490)</f>
        <v>0.0025447397665496895</v>
      </c>
      <c r="N490" s="2">
        <f>LN(1+D490+E490)</f>
        <v>-0.002431344286921446</v>
      </c>
      <c r="O490" s="2">
        <f>LN(1+C490+E490+Inputs!$B$7/Inputs!$B$9)</f>
        <v>0.002554635139171105</v>
      </c>
      <c r="P490" s="2">
        <f>LN(1+D490+E490+Inputs!$B$8/Inputs!$B$9)</f>
        <v>-0.002431344286921446</v>
      </c>
      <c r="Q490" s="2">
        <f>LN(1+E490+Inputs!$B$6/Inputs!$B$9)</f>
        <v>6.833542515307311e-05</v>
      </c>
    </row>
    <row r="491" spans="1:17">
      <c r="A491" s="3">
        <v>43080</v>
      </c>
      <c r="B491" t="s">
        <v>64</v>
      </c>
      <c r="C491" s="2">
        <v>-0.01803685810446386</v>
      </c>
      <c r="D491" s="2">
        <v>-0.001380854818811855</v>
      </c>
      <c r="E491" s="2">
        <v>4.857553911338772E-05</v>
      </c>
      <c r="F491" s="2">
        <f>Inputs!$E$2*C491+Inputs!$F$2*D491</f>
        <v>-0.0152579993748584</v>
      </c>
      <c r="G491" s="2">
        <f>Inputs!$E$3*C491+Inputs!$F$3*D491</f>
        <v>0.0037540316487648002</v>
      </c>
      <c r="H491" s="2">
        <f>F491^2</f>
        <v>0.00023280654492317934</v>
      </c>
      <c r="I491" s="2">
        <f>G491^2</f>
        <v>1.4092753619927764e-05</v>
      </c>
      <c r="J491" s="2">
        <f>LN(1+F491+E491)</f>
        <v>-0.015326273446616499</v>
      </c>
      <c r="K491" s="2">
        <f>LN(1+G491+E491)</f>
        <v>0.003795395553392387</v>
      </c>
      <c r="L491" s="2">
        <f>LN(1+E491)</f>
        <v>4.857435935978721e-05</v>
      </c>
      <c r="M491" s="2">
        <f>LN(1+C491+E491)</f>
        <v>-0.018152038484349296</v>
      </c>
      <c r="N491" s="2">
        <f>LN(1+D491+E491)</f>
        <v>-0.0013331675527781242</v>
      </c>
      <c r="O491" s="2">
        <f>LN(1+C491+E491+Inputs!$B$7/Inputs!$B$9)</f>
        <v>-0.01814193617636868</v>
      </c>
      <c r="P491" s="2">
        <f>LN(1+D491+E491+Inputs!$B$8/Inputs!$B$9)</f>
        <v>-0.0013331675527781242</v>
      </c>
      <c r="Q491" s="2">
        <f>LN(1+E491+Inputs!$B$6/Inputs!$B$9)</f>
        <v>6.841446863128964e-05</v>
      </c>
    </row>
    <row r="492" spans="1:17">
      <c r="A492" s="3">
        <v>43081</v>
      </c>
      <c r="B492" t="s">
        <v>64</v>
      </c>
      <c r="C492" s="2">
        <v>-0.01396602647824629</v>
      </c>
      <c r="D492" s="2">
        <v>0.002970327595622034</v>
      </c>
      <c r="E492" s="2">
        <v>4.865458799721748E-05</v>
      </c>
      <c r="F492" s="2">
        <f>Inputs!$E$2*C492+Inputs!$F$2*D492</f>
        <v>-0.0093906246252236</v>
      </c>
      <c r="G492" s="2">
        <f>Inputs!$E$3*C492+Inputs!$F$3*D492</f>
        <v>0.007754201058220199</v>
      </c>
      <c r="H492" s="2">
        <f>F492^2</f>
        <v>8.818383085185588e-05</v>
      </c>
      <c r="I492" s="2">
        <f>G492^2</f>
        <v>6.012763405130326e-05</v>
      </c>
      <c r="J492" s="2">
        <f>LN(1+F492+E492)</f>
        <v>-0.009385879923170155</v>
      </c>
      <c r="K492" s="2">
        <f>LN(1+G492+E492)</f>
        <v>0.007772570804915621</v>
      </c>
      <c r="L492" s="2">
        <f>LN(1+E492)</f>
        <v>4.865340440089061e-05</v>
      </c>
      <c r="M492" s="2">
        <f>LN(1+C492+E492)</f>
        <v>-0.014015126562288921</v>
      </c>
      <c r="N492" s="2">
        <f>LN(1+D492+E492)</f>
        <v>0.003014434208112093</v>
      </c>
      <c r="O492" s="2">
        <f>LN(1+C492+E492+Inputs!$B$7/Inputs!$B$9)</f>
        <v>-0.01400506596013027</v>
      </c>
      <c r="P492" s="2">
        <f>LN(1+D492+E492+Inputs!$B$8/Inputs!$B$9)</f>
        <v>0.003014434208112093</v>
      </c>
      <c r="Q492" s="2">
        <f>LN(1+E492+Inputs!$B$6/Inputs!$B$9)</f>
        <v>6.849351210414641e-05</v>
      </c>
    </row>
    <row r="493" spans="1:17">
      <c r="A493" s="3">
        <v>43082</v>
      </c>
      <c r="B493" t="s">
        <v>64</v>
      </c>
      <c r="C493" s="2">
        <v>-0.00734554370195718</v>
      </c>
      <c r="D493" s="2">
        <v>0.004971775869970647</v>
      </c>
      <c r="E493" s="2">
        <v>4.873363688104724E-05</v>
      </c>
      <c r="F493" s="2">
        <f>Inputs!$E$2*C493+Inputs!$F$2*D493</f>
        <v>-0.0028933694395830004</v>
      </c>
      <c r="G493" s="2">
        <f>Inputs!$E$3*C493+Inputs!$F$3*D493</f>
        <v>0.008169794154552299</v>
      </c>
      <c r="H493" s="2">
        <f>F493^2</f>
        <v>8.371586713912846e-06</v>
      </c>
      <c r="I493" s="2">
        <f>G493^2</f>
        <v>6.674553652775691e-05</v>
      </c>
      <c r="J493" s="2">
        <f>LN(1+F493+E493)</f>
        <v>-0.0028486894684205378</v>
      </c>
      <c r="K493" s="2">
        <f>LN(1+G493+E493)</f>
        <v>0.008184939596756279</v>
      </c>
      <c r="L493" s="2">
        <f>LN(1+E493)</f>
        <v>4.8732449435967934e-05</v>
      </c>
      <c r="M493" s="2">
        <f>LN(1+C493+E493)</f>
        <v>-0.007323561998933163</v>
      </c>
      <c r="N493" s="2">
        <f>LN(1+D493+E493)</f>
        <v>0.005007948772314045</v>
      </c>
      <c r="O493" s="2">
        <f>LN(1+C493+E493+Inputs!$B$7/Inputs!$B$9)</f>
        <v>-0.007313568492867731</v>
      </c>
      <c r="P493" s="2">
        <f>LN(1+D493+E493+Inputs!$B$8/Inputs!$B$9)</f>
        <v>0.005007948772314045</v>
      </c>
      <c r="Q493" s="2">
        <f>LN(1+E493+Inputs!$B$6/Inputs!$B$9)</f>
        <v>6.857255557097735e-05</v>
      </c>
    </row>
    <row r="494" spans="1:17">
      <c r="A494" s="3">
        <v>43083</v>
      </c>
      <c r="B494" t="s">
        <v>64</v>
      </c>
      <c r="C494" s="2">
        <v>-0.01257000109286196</v>
      </c>
      <c r="D494" s="2">
        <v>-0.001106676150875932</v>
      </c>
      <c r="E494" s="2">
        <v>4.8812685764877E-05</v>
      </c>
      <c r="F494" s="2">
        <f>Inputs!$E$2*C494+Inputs!$F$2*D494</f>
        <v>-0.010720006564815202</v>
      </c>
      <c r="G494" s="2">
        <f>Inputs!$E$3*C494+Inputs!$F$3*D494</f>
        <v>0.0024429889468074</v>
      </c>
      <c r="H494" s="2">
        <f>F494^2</f>
        <v>0.00011491854074968104</v>
      </c>
      <c r="I494" s="2">
        <f>G494^2</f>
        <v>5.968194994223129e-06</v>
      </c>
      <c r="J494" s="2">
        <f>LN(1+F494+E494)</f>
        <v>-0.010728539396744468</v>
      </c>
      <c r="K494" s="2">
        <f>LN(1+G494+E494)</f>
        <v>0.0024887022425267038</v>
      </c>
      <c r="L494" s="2">
        <f>LN(1+E494)</f>
        <v>4.8811494464575104e-05</v>
      </c>
      <c r="M494" s="2">
        <f>LN(1+C494+E494)</f>
        <v>-0.012600239051838382</v>
      </c>
      <c r="N494" s="2">
        <f>LN(1+D494+E494)</f>
        <v>-0.001058423397589367</v>
      </c>
      <c r="O494" s="2">
        <f>LN(1+C494+E494+Inputs!$B$7/Inputs!$B$9)</f>
        <v>-0.012590192674163173</v>
      </c>
      <c r="P494" s="2">
        <f>LN(1+D494+E494+Inputs!$B$8/Inputs!$B$9)</f>
        <v>-0.001058423397589367</v>
      </c>
      <c r="Q494" s="2">
        <f>LN(1+E494+Inputs!$B$6/Inputs!$B$9)</f>
        <v>6.865159903133837e-05</v>
      </c>
    </row>
    <row r="495" spans="1:17">
      <c r="A495" s="3">
        <v>43084</v>
      </c>
      <c r="B495" t="s">
        <v>64</v>
      </c>
      <c r="C495" s="2">
        <v>0.002822716732629763</v>
      </c>
      <c r="D495" s="2">
        <v>-0.001886191450468902</v>
      </c>
      <c r="E495" s="2">
        <v>4.889173464870676E-05</v>
      </c>
      <c r="F495" s="2">
        <f>Inputs!$E$2*C495+Inputs!$F$2*D495</f>
        <v>0.0011264585158226</v>
      </c>
      <c r="G495" s="2">
        <f>Inputs!$E$3*C495+Inputs!$F$3*D495</f>
        <v>-0.0031102447603517996</v>
      </c>
      <c r="H495" s="2">
        <f>F495^2</f>
        <v>1.268908787869255e-06</v>
      </c>
      <c r="I495" s="2">
        <f>G495^2</f>
        <v>9.673622469295823e-06</v>
      </c>
      <c r="J495" s="2">
        <f>LN(1+F495+E495)</f>
        <v>0.0011746600671178698</v>
      </c>
      <c r="K495" s="2">
        <f>LN(1+G495+E495)</f>
        <v>-0.003066048552435617</v>
      </c>
      <c r="L495" s="2">
        <f>LN(1+E495)</f>
        <v>4.8890539487156196e-05</v>
      </c>
      <c r="M495" s="2">
        <f>LN(1+C495+E495)</f>
        <v>0.002867493275947551</v>
      </c>
      <c r="N495" s="2">
        <f>LN(1+D495+E495)</f>
        <v>-0.0018389896211685472</v>
      </c>
      <c r="O495" s="2">
        <f>LN(1+C495+E495+Inputs!$B$7/Inputs!$B$9)</f>
        <v>0.002877385455333864</v>
      </c>
      <c r="P495" s="2">
        <f>LN(1+D495+E495+Inputs!$B$8/Inputs!$B$9)</f>
        <v>-0.0018389896211685472</v>
      </c>
      <c r="Q495" s="2">
        <f>LN(1+E495+Inputs!$B$6/Inputs!$B$9)</f>
        <v>6.873064248567358e-05</v>
      </c>
    </row>
    <row r="496" spans="1:17">
      <c r="A496" s="3">
        <v>43087</v>
      </c>
      <c r="B496" t="s">
        <v>64</v>
      </c>
      <c r="C496" s="2">
        <v>0.01146291733838643</v>
      </c>
      <c r="D496" s="2">
        <v>0.003119996360220199</v>
      </c>
      <c r="E496" s="2">
        <v>4.897078353253652E-05</v>
      </c>
      <c r="F496" s="2">
        <f>Inputs!$E$2*C496+Inputs!$F$2*D496</f>
        <v>0.011042331686840798</v>
      </c>
      <c r="G496" s="2">
        <f>Inputs!$E$3*C496+Inputs!$F$3*D496</f>
        <v>0.0003051204307482</v>
      </c>
      <c r="H496" s="2">
        <f>F496^2</f>
        <v>0.00012193308908220835</v>
      </c>
      <c r="I496" s="2">
        <f>G496^2</f>
        <v>9.309847725996712e-08</v>
      </c>
      <c r="J496" s="2">
        <f>LN(1+F496+E496)</f>
        <v>0.011030245031312995</v>
      </c>
      <c r="K496" s="2">
        <f>LN(1+G496+E496)</f>
        <v>0.00035402853878198175</v>
      </c>
      <c r="L496" s="2">
        <f>LN(1+E496)</f>
        <v>4.8969584503267135e-05</v>
      </c>
      <c r="M496" s="2">
        <f>LN(1+C496+E496)</f>
        <v>0.01144613051944379</v>
      </c>
      <c r="N496" s="2">
        <f>LN(1+D496+E496)</f>
        <v>0.003163956550187344</v>
      </c>
      <c r="O496" s="2">
        <f>LN(1+C496+E496+Inputs!$B$7/Inputs!$B$9)</f>
        <v>0.01145593820078499</v>
      </c>
      <c r="P496" s="2">
        <f>LN(1+D496+E496+Inputs!$B$8/Inputs!$B$9)</f>
        <v>0.003163956550187344</v>
      </c>
      <c r="Q496" s="2">
        <f>LN(1+E496+Inputs!$B$6/Inputs!$B$9)</f>
        <v>6.880968593353888e-05</v>
      </c>
    </row>
    <row r="497" spans="1:17">
      <c r="A497" s="3">
        <v>43088</v>
      </c>
      <c r="B497" t="s">
        <v>64</v>
      </c>
      <c r="C497" s="2">
        <v>-0.004311218527725756</v>
      </c>
      <c r="D497" s="2">
        <v>-0.004420661569402387</v>
      </c>
      <c r="E497" s="2">
        <v>4.904983241636628E-05</v>
      </c>
      <c r="F497" s="2">
        <f>Inputs!$E$2*C497+Inputs!$F$2*D497</f>
        <v>-0.006101371763822</v>
      </c>
      <c r="G497" s="2">
        <f>Inputs!$E$3*C497+Inputs!$F$3*D497</f>
        <v>-0.0040114283249645995</v>
      </c>
      <c r="H497" s="2">
        <f>F497^2</f>
        <v>3.722673740036438e-05</v>
      </c>
      <c r="I497" s="2">
        <f>G497^2</f>
        <v>1.6091557206328294e-05</v>
      </c>
      <c r="J497" s="2">
        <f>LN(1+F497+E497)</f>
        <v>-0.00607071146893206</v>
      </c>
      <c r="K497" s="2">
        <f>LN(1+G497+E497)</f>
        <v>-0.003970249513062603</v>
      </c>
      <c r="L497" s="2">
        <f>LN(1+E497)</f>
        <v>4.904862951224183e-05</v>
      </c>
      <c r="M497" s="2">
        <f>LN(1+C497+E497)</f>
        <v>-0.004271277628056171</v>
      </c>
      <c r="N497" s="2">
        <f>LN(1+D497+E497)</f>
        <v>-0.00438119517181162</v>
      </c>
      <c r="O497" s="2">
        <f>LN(1+C497+E497+Inputs!$B$7/Inputs!$B$9)</f>
        <v>-0.004261314578356771</v>
      </c>
      <c r="P497" s="2">
        <f>LN(1+D497+E497+Inputs!$B$8/Inputs!$B$9)</f>
        <v>-0.00438119517181162</v>
      </c>
      <c r="Q497" s="2">
        <f>LN(1+E497+Inputs!$B$6/Inputs!$B$9)</f>
        <v>6.888872937426819e-05</v>
      </c>
    </row>
    <row r="498" spans="1:17">
      <c r="A498" s="3">
        <v>43089</v>
      </c>
      <c r="B498" t="s">
        <v>64</v>
      </c>
      <c r="C498" s="2">
        <v>-0.004688788066903518</v>
      </c>
      <c r="D498" s="2">
        <v>-0.001681748264585718</v>
      </c>
      <c r="E498" s="2">
        <v>4.912888130019604E-05</v>
      </c>
      <c r="F498" s="2">
        <f>Inputs!$E$2*C498+Inputs!$F$2*D498</f>
        <v>-0.0047600794122748</v>
      </c>
      <c r="G498" s="2">
        <f>Inputs!$E$3*C498+Inputs!$F$3*D498</f>
        <v>-0.0006114614974320001</v>
      </c>
      <c r="H498" s="2">
        <f>F498^2</f>
        <v>2.2658356011162403e-05</v>
      </c>
      <c r="I498" s="2">
        <f>G498^2</f>
        <v>3.738851628417839e-07</v>
      </c>
      <c r="J498" s="2">
        <f>LN(1+F498+E498)</f>
        <v>-0.004722082032154197</v>
      </c>
      <c r="K498" s="2">
        <f>LN(1+G498+E498)</f>
        <v>-0.0005624907844157409</v>
      </c>
      <c r="L498" s="2">
        <f>LN(1+E498)</f>
        <v>4.912767451607858e-05</v>
      </c>
      <c r="M498" s="2">
        <f>LN(1+C498+E498)</f>
        <v>-0.0046504558123393646</v>
      </c>
      <c r="N498" s="2">
        <f>LN(1+D498+E498)</f>
        <v>-0.001633953558642737</v>
      </c>
      <c r="O498" s="2">
        <f>LN(1+C498+E498+Inputs!$B$7/Inputs!$B$9)</f>
        <v>-0.004640488984171385</v>
      </c>
      <c r="P498" s="2">
        <f>LN(1+D498+E498+Inputs!$B$8/Inputs!$B$9)</f>
        <v>-0.001633953558642737</v>
      </c>
      <c r="Q498" s="2">
        <f>LN(1+E498+Inputs!$B$6/Inputs!$B$9)</f>
        <v>6.896777280985979e-05</v>
      </c>
    </row>
    <row r="499" spans="1:17">
      <c r="A499" s="3">
        <v>43090</v>
      </c>
      <c r="B499" t="s">
        <v>64</v>
      </c>
      <c r="C499" s="2">
        <v>-0.004810359220023856</v>
      </c>
      <c r="D499" s="2">
        <v>-0.001164681105933222</v>
      </c>
      <c r="E499" s="2">
        <v>4.92079301840258E-05</v>
      </c>
      <c r="F499" s="2">
        <f>Inputs!$E$2*C499+Inputs!$F$2*D499</f>
        <v>-0.004547096039579</v>
      </c>
      <c r="G499" s="2">
        <f>Inputs!$E$3*C499+Inputs!$F$3*D499</f>
        <v>4.54904388875999e-05</v>
      </c>
      <c r="H499" s="2">
        <f>F499^2</f>
        <v>2.067608239315503e-05</v>
      </c>
      <c r="I499" s="2">
        <f>G499^2</f>
        <v>2.0693800301864615e-09</v>
      </c>
      <c r="J499" s="2">
        <f>LN(1+F499+E499)</f>
        <v>-0.0045080340430644905</v>
      </c>
      <c r="K499" s="2">
        <f>LN(1+G499+E499)</f>
        <v>9.469388546400534e-05</v>
      </c>
      <c r="L499" s="2">
        <f>LN(1+E499)</f>
        <v>4.920671951344518e-05</v>
      </c>
      <c r="M499" s="2">
        <f>LN(1+C499+E499)</f>
        <v>-0.0047725216757500055</v>
      </c>
      <c r="N499" s="2">
        <f>LN(1+D499+E499)</f>
        <v>-0.0011160957789931216</v>
      </c>
      <c r="O499" s="2">
        <f>LN(1+C499+E499+Inputs!$B$7/Inputs!$B$9)</f>
        <v>-0.004762553630904348</v>
      </c>
      <c r="P499" s="2">
        <f>LN(1+D499+E499+Inputs!$B$8/Inputs!$B$9)</f>
        <v>-0.0011160957789931216</v>
      </c>
      <c r="Q499" s="2">
        <f>LN(1+E499+Inputs!$B$6/Inputs!$B$9)</f>
        <v>6.904681623898149e-05</v>
      </c>
    </row>
    <row r="500" spans="1:17">
      <c r="A500" s="3">
        <v>43091</v>
      </c>
      <c r="B500" t="s">
        <v>64</v>
      </c>
      <c r="C500" s="2">
        <v>0.001598190083224781</v>
      </c>
      <c r="D500" s="2">
        <v>-0.0007941050637933867</v>
      </c>
      <c r="E500" s="2">
        <v>4.928697906785557E-05</v>
      </c>
      <c r="F500" s="2">
        <f>Inputs!$E$2*C500+Inputs!$F$2*D500</f>
        <v>0.0008020890283042001</v>
      </c>
      <c r="G500" s="2">
        <f>Inputs!$E$3*C500+Inputs!$F$3*D500</f>
        <v>-0.0014323831015191</v>
      </c>
      <c r="H500" s="2">
        <f>F500^2</f>
        <v>6.433468093259759e-07</v>
      </c>
      <c r="I500" s="2">
        <f>G500^2</f>
        <v>2.051721349517476e-06</v>
      </c>
      <c r="J500" s="2">
        <f>LN(1+F500+E500)</f>
        <v>0.0008510137923921693</v>
      </c>
      <c r="K500" s="2">
        <f>LN(1+G500+E500)</f>
        <v>-0.0013840534827423482</v>
      </c>
      <c r="L500" s="2">
        <f>LN(1+E500)</f>
        <v>4.9285764504785703e-05</v>
      </c>
      <c r="M500" s="2">
        <f>LN(1+C500+E500)</f>
        <v>0.0016461214606350953</v>
      </c>
      <c r="N500" s="2">
        <f>LN(1+D500+E500)</f>
        <v>-0.0007450955995218457</v>
      </c>
      <c r="O500" s="2">
        <f>LN(1+C500+E500+Inputs!$B$7/Inputs!$B$9)</f>
        <v>0.0016560257293719647</v>
      </c>
      <c r="P500" s="2">
        <f>LN(1+D500+E500+Inputs!$B$8/Inputs!$B$9)</f>
        <v>-0.0007450955995218457</v>
      </c>
      <c r="Q500" s="2">
        <f>LN(1+E500+Inputs!$B$6/Inputs!$B$9)</f>
        <v>6.912585966207735e-05</v>
      </c>
    </row>
    <row r="501" spans="1:17">
      <c r="A501" s="3">
        <v>43095</v>
      </c>
      <c r="B501" t="s">
        <v>64</v>
      </c>
      <c r="C501" s="2">
        <v>-0.004801499828840386</v>
      </c>
      <c r="D501" s="2">
        <v>-0.002685022235104919</v>
      </c>
      <c r="E501" s="2">
        <v>4.936602795168532E-05</v>
      </c>
      <c r="F501" s="2">
        <f>Inputs!$E$2*C501+Inputs!$F$2*D501</f>
        <v>-0.005452213204135</v>
      </c>
      <c r="G501" s="2">
        <f>Inputs!$E$3*C501+Inputs!$F$3*D501</f>
        <v>-0.001781576733474</v>
      </c>
      <c r="H501" s="2">
        <f>F501^2</f>
        <v>2.972662882334404e-05</v>
      </c>
      <c r="I501" s="2">
        <f>G501^2</f>
        <v>3.174015657255888e-06</v>
      </c>
      <c r="J501" s="2">
        <f>LN(1+F501+E501)</f>
        <v>-0.005417495340005036</v>
      </c>
      <c r="K501" s="2">
        <f>LN(1+G501+E501)</f>
        <v>-0.0017337127172706488</v>
      </c>
      <c r="L501" s="2">
        <f>LN(1+E501)</f>
        <v>4.936480948965608e-05</v>
      </c>
      <c r="M501" s="2">
        <f>LN(1+C501+E501)</f>
        <v>-0.0047634610888246985</v>
      </c>
      <c r="N501" s="2">
        <f>LN(1+D501+E501)</f>
        <v>-0.002639135664087039</v>
      </c>
      <c r="O501" s="2">
        <f>LN(1+C501+E501+Inputs!$B$7/Inputs!$B$9)</f>
        <v>-0.004753493134294518</v>
      </c>
      <c r="P501" s="2">
        <f>LN(1+D501+E501+Inputs!$B$8/Inputs!$B$9)</f>
        <v>-0.002639135664087039</v>
      </c>
      <c r="Q501" s="2">
        <f>LN(1+E501+Inputs!$B$6/Inputs!$B$9)</f>
        <v>6.920490307870334e-05</v>
      </c>
    </row>
    <row r="502" spans="1:17">
      <c r="A502" s="3">
        <v>43096</v>
      </c>
      <c r="B502" t="s">
        <v>64</v>
      </c>
      <c r="C502" s="2">
        <v>0.004202208134111314</v>
      </c>
      <c r="D502" s="2">
        <v>0.007155586881311246</v>
      </c>
      <c r="E502" s="2">
        <v>4.944507683551508E-05</v>
      </c>
      <c r="F502" s="2">
        <f>Inputs!$E$2*C502+Inputs!$F$2*D502</f>
        <v>0.0076551186360754</v>
      </c>
      <c r="G502" s="2">
        <f>Inputs!$E$3*C502+Inputs!$F$3*D502</f>
        <v>0.007326041817339899</v>
      </c>
      <c r="H502" s="2">
        <f>F502^2</f>
        <v>5.860084133238889e-05</v>
      </c>
      <c r="I502" s="2">
        <f>G502^2</f>
        <v>5.367088870941289e-05</v>
      </c>
      <c r="J502" s="2">
        <f>LN(1+F502+E502)</f>
        <v>0.007675035134801482</v>
      </c>
      <c r="K502" s="2">
        <f>LN(1+G502+E502)</f>
        <v>0.007348420992041585</v>
      </c>
      <c r="L502" s="2">
        <f>LN(1+E502)</f>
        <v>4.9443854468500385e-05</v>
      </c>
      <c r="M502" s="2">
        <f>LN(1+C502+E502)</f>
        <v>0.0042426404704348575</v>
      </c>
      <c r="N502" s="2">
        <f>LN(1+D502+E502)</f>
        <v>0.007179199722560691</v>
      </c>
      <c r="O502" s="2">
        <f>LN(1+C502+E502+Inputs!$B$7/Inputs!$B$9)</f>
        <v>0.0042525190560345014</v>
      </c>
      <c r="P502" s="2">
        <f>LN(1+D502+E502+Inputs!$B$8/Inputs!$B$9)</f>
        <v>0.007179199722560691</v>
      </c>
      <c r="Q502" s="2">
        <f>LN(1+E502+Inputs!$B$6/Inputs!$B$9)</f>
        <v>6.928394648930348e-05</v>
      </c>
    </row>
    <row r="503" spans="1:17">
      <c r="A503" s="3">
        <v>43097</v>
      </c>
      <c r="B503" t="s">
        <v>64</v>
      </c>
      <c r="C503" s="2">
        <v>0.002962759166015635</v>
      </c>
      <c r="D503" s="2">
        <v>0.004464073032687813</v>
      </c>
      <c r="E503" s="2">
        <v>4.952412571934484E-05</v>
      </c>
      <c r="F503" s="2">
        <f>Inputs!$E$2*C503+Inputs!$F$2*D503</f>
        <v>0.0050486511524256</v>
      </c>
      <c r="G503" s="2">
        <f>Inputs!$E$3*C503+Inputs!$F$3*D503</f>
        <v>0.0044680598894208</v>
      </c>
      <c r="H503" s="2">
        <f>F503^2</f>
        <v>2.548887845888834e-05</v>
      </c>
      <c r="I503" s="2">
        <f>G503^2</f>
        <v>1.996355917545101e-05</v>
      </c>
      <c r="J503" s="2">
        <f>LN(1+F503+E503)</f>
        <v>0.005085223583915132</v>
      </c>
      <c r="K503" s="2">
        <f>LN(1+G503+E503)</f>
        <v>0.00450741036119002</v>
      </c>
      <c r="L503" s="2">
        <f>LN(1+E503)</f>
        <v>4.9522899439986416e-05</v>
      </c>
      <c r="M503" s="2">
        <f>LN(1+C503+E503)</f>
        <v>0.0030077554568888097</v>
      </c>
      <c r="N503" s="2">
        <f>LN(1+D503+E503)</f>
        <v>0.004503441426540982</v>
      </c>
      <c r="O503" s="2">
        <f>LN(1+C503+E503+Inputs!$B$7/Inputs!$B$9)</f>
        <v>0.003017646248880632</v>
      </c>
      <c r="P503" s="2">
        <f>LN(1+D503+E503+Inputs!$B$8/Inputs!$B$9)</f>
        <v>0.004503441426540982</v>
      </c>
      <c r="Q503" s="2">
        <f>LN(1+E503+Inputs!$B$6/Inputs!$B$9)</f>
        <v>6.936298989254562e-05</v>
      </c>
    </row>
    <row r="504" spans="1:17">
      <c r="A504" s="3">
        <v>43098</v>
      </c>
      <c r="B504" t="s">
        <v>64</v>
      </c>
      <c r="C504" s="2">
        <v>0.003237726929987973</v>
      </c>
      <c r="D504" s="2">
        <v>-0.0008243172856200425</v>
      </c>
      <c r="E504" s="2">
        <v>4.96031746031746E-05</v>
      </c>
      <c r="F504" s="2">
        <f>Inputs!$E$2*C504+Inputs!$F$2*D504</f>
        <v>0.0020955911726184</v>
      </c>
      <c r="G504" s="2">
        <f>Inputs!$E$3*C504+Inputs!$F$3*D504</f>
        <v>-0.0019604988217404</v>
      </c>
      <c r="H504" s="2">
        <f>F504^2</f>
        <v>4.391502362756161e-06</v>
      </c>
      <c r="I504" s="2">
        <f>G504^2</f>
        <v>3.843555630045496e-06</v>
      </c>
      <c r="J504" s="2">
        <f>LN(1+F504+E504)</f>
        <v>0.0021428967031695396</v>
      </c>
      <c r="K504" s="2">
        <f>LN(1+G504+E504)</f>
        <v>-0.001912723737455664</v>
      </c>
      <c r="L504" s="2">
        <f>LN(1+E504)</f>
        <v>4.960194440611247e-05</v>
      </c>
      <c r="M504" s="2">
        <f>LN(1+C504+E504)</f>
        <v>0.003281938647417684</v>
      </c>
      <c r="N504" s="2">
        <f>LN(1+D504+E504)</f>
        <v>-0.0007750143570738631</v>
      </c>
      <c r="O504" s="2">
        <f>LN(1+C504+E504+Inputs!$B$7/Inputs!$B$9)</f>
        <v>0.0032918267279057494</v>
      </c>
      <c r="P504" s="2">
        <f>LN(1+D504+E504+Inputs!$B$8/Inputs!$B$9)</f>
        <v>-0.0007750143570738631</v>
      </c>
      <c r="Q504" s="2">
        <f>LN(1+E504+Inputs!$B$6/Inputs!$B$9)</f>
        <v>6.944203329042802e-05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61" width="14.7109375" customWidth="1"/>
  </cols>
  <sheetData>
    <row r="1" spans="1:6" s="1" customFormat="1" ht="45" customHeight="1">
      <c r="A1" s="1" t="s">
        <v>11</v>
      </c>
      <c r="B1" s="1" t="s">
        <v>12</v>
      </c>
      <c r="D1" s="1" t="s">
        <v>21</v>
      </c>
      <c r="E1" s="1" t="s">
        <v>22</v>
      </c>
      <c r="F1" s="1" t="s">
        <v>23</v>
      </c>
    </row>
    <row r="2" spans="1:6">
      <c r="A2" t="s">
        <v>13</v>
      </c>
      <c r="B2" s="2">
        <v>1.3</v>
      </c>
      <c r="D2" s="2">
        <v>2016</v>
      </c>
      <c r="E2" s="2">
        <v>0.8</v>
      </c>
      <c r="F2" s="2">
        <v>0.6</v>
      </c>
    </row>
    <row r="3" spans="1:6">
      <c r="A3" t="s">
        <v>14</v>
      </c>
      <c r="B3" s="2">
        <v>6</v>
      </c>
      <c r="D3" s="2">
        <v>2017</v>
      </c>
      <c r="E3" s="2">
        <v>-0.3</v>
      </c>
      <c r="F3" s="2">
        <v>1.2</v>
      </c>
    </row>
    <row r="4" spans="1:6">
      <c r="A4" t="s">
        <v>15</v>
      </c>
      <c r="B4" s="2">
        <v>0.0005</v>
      </c>
    </row>
    <row r="5" spans="1:6">
      <c r="A5" t="s">
        <v>16</v>
      </c>
      <c r="B5" s="2">
        <v>0.001</v>
      </c>
    </row>
    <row r="6" spans="1:6">
      <c r="A6" t="s">
        <v>17</v>
      </c>
      <c r="B6" s="2">
        <v>0.005</v>
      </c>
    </row>
    <row r="7" spans="1:6">
      <c r="A7" t="s">
        <v>18</v>
      </c>
      <c r="B7" s="2">
        <v>0.0025</v>
      </c>
    </row>
    <row r="8" spans="1:6">
      <c r="A8" t="s">
        <v>19</v>
      </c>
      <c r="B8" s="2">
        <v>0</v>
      </c>
    </row>
    <row r="9" spans="1:6">
      <c r="A9" t="s">
        <v>20</v>
      </c>
      <c r="B9" s="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Check</vt:lpstr>
      <vt:lpstr>Monthly</vt:lpstr>
      <vt:lpstr>Daily</vt:lpstr>
      <vt:lpstr>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2026-10-17T17:12:20Z</dcterms:created>
  <dcterms:modified xsi:type="dcterms:W3CDTF">2026-10-17T17:12:20Z</dcterms:modified>
</cp:coreProperties>
</file>